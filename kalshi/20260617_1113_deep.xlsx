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All Results" sheetId="2" state="visible" r:id="rId2"/>
    <sheet xmlns:r="http://schemas.openxmlformats.org/officeDocument/2006/relationships" name="Tier Inversions" sheetId="3" state="visible" r:id="rId3"/>
    <sheet xmlns:r="http://schemas.openxmlformats.org/officeDocument/2006/relationships" name="Legend" sheetId="4" state="visible" r:id="rId4"/>
  </sheets>
  <definedNames>
    <definedName name="_xlnm._FilterDatabase" localSheetId="0" hidden="1">'Opportunities'!$A$2:$AC$2</definedName>
    <definedName name="_xlnm._FilterDatabase" localSheetId="1" hidden="1">'All Results'!$A$2:$AC$2</definedName>
    <definedName name="_xlnm._FilterDatabase" localSheetId="2" hidden="1">'Tier Inversions'!$A$2:$T$2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2"/>
    </font>
    <font>
      <name val="Calibri"/>
      <b val="1"/>
      <color rgb="00FFFFFF"/>
      <sz val="10"/>
    </font>
    <font>
      <name val="Calibri"/>
      <color rgb="00276221"/>
      <sz val="10"/>
    </font>
    <font>
      <name val="Calibri"/>
      <color rgb="009C6500"/>
      <sz val="10"/>
    </font>
    <font>
      <name val="Calibri"/>
      <color rgb="00843C0C"/>
      <sz val="10"/>
    </font>
    <font>
      <name val="Calibri"/>
      <color rgb="00000000"/>
      <sz val="10"/>
    </font>
  </fonts>
  <fills count="6">
    <fill>
      <patternFill/>
    </fill>
    <fill>
      <patternFill patternType="gray125"/>
    </fill>
    <fill>
      <patternFill patternType="solid">
        <fgColor rgb="001F3864"/>
      </patternFill>
    </fill>
    <fill>
      <patternFill patternType="solid">
        <fgColor rgb="00F4CCCC"/>
      </patternFill>
    </fill>
    <fill>
      <patternFill patternType="solid">
        <fgColor rgb="00FFEB9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4"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5" fillId="5" borderId="1" applyAlignment="1" pivotButton="0" quotePrefix="0" xfId="0">
      <alignment vertical="top" wrapText="1"/>
    </xf>
    <xf numFmtId="0" fontId="2" fillId="2" borderId="1" applyAlignment="1" pivotButton="0" quotePrefix="0" xfId="0">
      <alignment horizontal="left" vertical="center"/>
    </xf>
    <xf numFmtId="0" fontId="6" fillId="4" borderId="1" applyAlignment="1" pivotButton="0" quotePrefix="0" xfId="0">
      <alignment vertical="top"/>
    </xf>
    <xf numFmtId="0" fontId="6" fillId="4" borderId="1" applyAlignment="1" pivotButton="0" quotePrefix="0" xfId="0">
      <alignment vertical="top" wrapText="1"/>
    </xf>
    <xf numFmtId="0" fontId="2" fillId="2" borderId="0" applyAlignment="1" pivotButton="0" quotePrefix="0" xfId="0">
      <alignment vertical="top"/>
    </xf>
    <xf numFmtId="0" fontId="2"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
  <sheetViews>
    <sheetView workbookViewId="0">
      <pane ySplit="2" topLeftCell="A3" activePane="bottomLeft" state="frozen"/>
      <selection pane="bottomLeft" activeCell="A1" sqref="A1"/>
    </sheetView>
  </sheetViews>
  <sheetFormatPr baseColWidth="8" defaultRowHeight="15"/>
  <cols>
    <col width="20" customWidth="1" min="1" max="1"/>
    <col width="45" customWidth="1" min="2" max="2"/>
    <col width="14" customWidth="1" min="3" max="3"/>
    <col width="6" customWidth="1" min="4" max="4"/>
    <col width="12" customWidth="1" min="5" max="5"/>
    <col width="12" customWidth="1" min="6" max="6"/>
    <col width="13" customWidth="1" min="7" max="7"/>
    <col width="14" customWidth="1" min="8" max="8"/>
    <col width="13" customWidth="1" min="9" max="9"/>
    <col width="24" customWidth="1" min="10" max="10"/>
    <col width="40" customWidth="1" min="11" max="11"/>
    <col width="10" customWidth="1" min="12" max="12"/>
    <col width="10" customWidth="1" min="13" max="13"/>
    <col width="10" customWidth="1" min="14" max="14"/>
    <col width="13" customWidth="1" min="15" max="15"/>
    <col width="13" customWidth="1" min="16" max="16"/>
    <col width="12" customWidth="1" min="17" max="17"/>
    <col width="16" customWidth="1" min="18" max="18"/>
    <col width="12" customWidth="1" min="19" max="19"/>
    <col width="22" customWidth="1" min="20" max="20"/>
    <col width="35" customWidth="1" min="21" max="21"/>
    <col width="30" customWidth="1" min="22" max="22"/>
    <col width="35" customWidth="1" min="23" max="23"/>
    <col width="35" customWidth="1" min="24" max="24"/>
    <col width="40" customWidth="1" min="25" max="25"/>
    <col width="40" customWidth="1" min="26" max="26"/>
    <col width="18" customWidth="1" min="27" max="27"/>
    <col width="14" customWidth="1" min="28" max="28"/>
    <col width="20" customWidth="1" min="29" max="29"/>
  </cols>
  <sheetData>
    <row r="1" ht="22" customHeight="1">
      <c r="A1" s="1" t="inlineStr">
        <is>
          <t>Kalshi Deep Opportunities — 2026-06-17 22:33 UTC  (1 actionable  |  0 near-miss)</t>
        </is>
      </c>
    </row>
    <row r="2" ht="30" customHeight="1">
      <c r="A2" s="2" t="inlineStr">
        <is>
          <t>Ticker</t>
        </is>
      </c>
      <c r="B2" s="2" t="inlineStr">
        <is>
          <t>Title</t>
        </is>
      </c>
      <c r="C2" s="2" t="inlineStr">
        <is>
          <t>Category</t>
        </is>
      </c>
      <c r="D2" s="2" t="inlineStr">
        <is>
          <t>Side</t>
        </is>
      </c>
      <c r="E2" s="2" t="inlineStr">
        <is>
          <t>Bid Price (c)</t>
        </is>
      </c>
      <c r="F2" s="2" t="inlineStr">
        <is>
          <t>Ask Price (c)</t>
        </is>
      </c>
      <c r="G2" s="2" t="inlineStr">
        <is>
          <t>Confidence %</t>
        </is>
      </c>
      <c r="H2" s="2" t="inlineStr">
        <is>
          <t>Classification</t>
        </is>
      </c>
      <c r="I2" s="2" t="inlineStr">
        <is>
          <t>Signal Score</t>
        </is>
      </c>
      <c r="J2" s="2" t="inlineStr">
        <is>
          <t>Status</t>
        </is>
      </c>
      <c r="K2" s="2" t="inlineStr">
        <is>
          <t>Validation Errors</t>
        </is>
      </c>
      <c r="L2" s="2" t="inlineStr">
        <is>
          <t>Edge %</t>
        </is>
      </c>
      <c r="M2" s="2" t="inlineStr">
        <is>
          <t>Ann. Edge %</t>
        </is>
      </c>
      <c r="N2" s="2" t="inlineStr">
        <is>
          <t>Fee Rate</t>
        </is>
      </c>
      <c r="O2" s="2" t="inlineStr">
        <is>
          <t>Days to Close</t>
        </is>
      </c>
      <c r="P2" s="2" t="inlineStr">
        <is>
          <t>Urgency Score</t>
        </is>
      </c>
      <c r="Q2" s="2" t="inlineStr">
        <is>
          <t>Close Date</t>
        </is>
      </c>
      <c r="R2" s="2" t="inlineStr">
        <is>
          <t>Suggested Size ($)</t>
        </is>
      </c>
      <c r="S2" s="2" t="inlineStr">
        <is>
          <t>Volume</t>
        </is>
      </c>
      <c r="T2" s="2" t="inlineStr">
        <is>
          <t>Volume Anomaly</t>
        </is>
      </c>
      <c r="U2" s="2" t="inlineStr">
        <is>
          <t>Anomaly Evidence</t>
        </is>
      </c>
      <c r="V2" s="2" t="inlineStr">
        <is>
          <t>Veto Reason</t>
        </is>
      </c>
      <c r="W2" s="2" t="inlineStr">
        <is>
          <t>Contradicting Signals</t>
        </is>
      </c>
      <c r="X2" s="2" t="inlineStr">
        <is>
          <t>Settlement Risk</t>
        </is>
      </c>
      <c r="Y2" s="2" t="inlineStr">
        <is>
          <t>What Would Change This</t>
        </is>
      </c>
      <c r="Z2" s="2" t="inlineStr">
        <is>
          <t>Recent Developments</t>
        </is>
      </c>
      <c r="AA2" s="2" t="inlineStr">
        <is>
          <t>Routing</t>
        </is>
      </c>
      <c r="AB2" s="2" t="inlineStr">
        <is>
          <t>Scan Type</t>
        </is>
      </c>
      <c r="AC2" s="2" t="inlineStr">
        <is>
          <t>Scanned At</t>
        </is>
      </c>
    </row>
    <row r="3" ht="45" customHeight="1">
      <c r="A3" s="3">
        <f>HYPERLINK("https://kalshi.com/markets/kxgabbardout","KXGABBARDOUT-26JUN-JUN29")</f>
        <v/>
      </c>
      <c r="B3" s="3" t="inlineStr">
        <is>
          <t>Will Tulsi Gabbard be out as Director of National Intelligence (DNI) before Jun 29, 2026?</t>
        </is>
      </c>
      <c r="C3" s="3" t="inlineStr">
        <is>
          <t>Politics</t>
        </is>
      </c>
      <c r="D3" s="3" t="inlineStr">
        <is>
          <t>NO</t>
        </is>
      </c>
      <c r="E3" s="3" t="n">
        <v>15</v>
      </c>
      <c r="F3" s="3" t="n">
        <v>20</v>
      </c>
      <c r="G3" s="3" t="n">
        <v>98</v>
      </c>
      <c r="H3" s="3" t="inlineStr">
        <is>
          <t>CERTAIN</t>
        </is>
      </c>
      <c r="I3" s="3" t="inlineStr"/>
      <c r="J3" s="3" t="inlineStr">
        <is>
          <t>OPPORTUNITY</t>
        </is>
      </c>
      <c r="K3" s="3" t="inlineStr"/>
      <c r="L3" s="3" t="n">
        <v>384.12</v>
      </c>
      <c r="M3" s="3" t="n">
        <v>12745.8</v>
      </c>
      <c r="N3" s="3" t="n">
        <v>1.5</v>
      </c>
      <c r="O3" s="3" t="n">
        <v>11</v>
      </c>
      <c r="P3" s="3" t="n">
        <v>82.81999999999999</v>
      </c>
      <c r="Q3" s="3" t="inlineStr">
        <is>
          <t>2026-06-29</t>
        </is>
      </c>
      <c r="R3" s="3" t="n">
        <v>50</v>
      </c>
      <c r="S3" s="3" t="n">
        <v>163349</v>
      </c>
      <c r="T3" s="3" t="inlineStr">
        <is>
          <t>YES @80c | ~$24,502 implied (163,349 contracts)</t>
        </is>
      </c>
      <c r="U3" s="3" t="inlineStr"/>
      <c r="V3" s="3" t="inlineStr"/>
      <c r="W3" s="3" t="inlineStr"/>
      <c r="X3" s="3" t="inlineStr">
        <is>
          <t>Kalshi could interpret 'leaves' to include announced resignation with a future effective date, but the secondary rule explicitly requires 'vacating the role within the time period' which June 30 does not satisfy</t>
        </is>
      </c>
      <c r="Y3" s="3" t="inlineStr">
        <is>
          <t>If Gabbard unexpectedly accelerates her departure and vacates the DNI role before June 29 (e.g., resigns effective immediately due to her husband's health emergency, or is removed by Trump before that date)</t>
        </is>
      </c>
      <c r="Z3" s="3" t="inlineStr">
        <is>
          <t>Gabbard posted a health update on June 4, 2026 confirming her husband's successful surgery and recovery — she remains actively serving as DNI. No reports of her vacating the role early. Aaron Lukas is confirmed to assume acting DNI duties on June 30.</t>
        </is>
      </c>
      <c r="AA3" s="3" t="inlineStr">
        <is>
          <t>notify</t>
        </is>
      </c>
      <c r="AB3" s="3" t="inlineStr"/>
      <c r="AC3" s="3" t="inlineStr"/>
    </row>
  </sheetData>
  <autoFilter ref="A2:AC2"/>
  <mergeCells count="1">
    <mergeCell ref="A1:A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73"/>
  <sheetViews>
    <sheetView workbookViewId="0">
      <pane ySplit="2" topLeftCell="A3" activePane="bottomLeft" state="frozen"/>
      <selection pane="bottomLeft" activeCell="A1" sqref="A1"/>
    </sheetView>
  </sheetViews>
  <sheetFormatPr baseColWidth="8" defaultRowHeight="15"/>
  <cols>
    <col width="20" customWidth="1" min="1" max="1"/>
    <col width="45" customWidth="1" min="2" max="2"/>
    <col width="14" customWidth="1" min="3" max="3"/>
    <col width="6" customWidth="1" min="4" max="4"/>
    <col width="12" customWidth="1" min="5" max="5"/>
    <col width="12" customWidth="1" min="6" max="6"/>
    <col width="13" customWidth="1" min="7" max="7"/>
    <col width="14" customWidth="1" min="8" max="8"/>
    <col width="13" customWidth="1" min="9" max="9"/>
    <col width="24" customWidth="1" min="10" max="10"/>
    <col width="40" customWidth="1" min="11" max="11"/>
    <col width="10" customWidth="1" min="12" max="12"/>
    <col width="10" customWidth="1" min="13" max="13"/>
    <col width="10" customWidth="1" min="14" max="14"/>
    <col width="13" customWidth="1" min="15" max="15"/>
    <col width="13" customWidth="1" min="16" max="16"/>
    <col width="12" customWidth="1" min="17" max="17"/>
    <col width="16" customWidth="1" min="18" max="18"/>
    <col width="12" customWidth="1" min="19" max="19"/>
    <col width="22" customWidth="1" min="20" max="20"/>
    <col width="35" customWidth="1" min="21" max="21"/>
    <col width="30" customWidth="1" min="22" max="22"/>
    <col width="35" customWidth="1" min="23" max="23"/>
    <col width="35" customWidth="1" min="24" max="24"/>
    <col width="40" customWidth="1" min="25" max="25"/>
    <col width="40" customWidth="1" min="26" max="26"/>
    <col width="18" customWidth="1" min="27" max="27"/>
    <col width="14" customWidth="1" min="28" max="28"/>
    <col width="20" customWidth="1" min="29" max="29"/>
  </cols>
  <sheetData>
    <row r="1" ht="22" customHeight="1">
      <c r="A1" s="1" t="inlineStr">
        <is>
          <t>All Classified Markets — Deep — 2026-06-17 22:33 UTC  (71 total)</t>
        </is>
      </c>
    </row>
    <row r="2" ht="30" customHeight="1">
      <c r="A2" s="2" t="inlineStr">
        <is>
          <t>Ticker</t>
        </is>
      </c>
      <c r="B2" s="2" t="inlineStr">
        <is>
          <t>Title</t>
        </is>
      </c>
      <c r="C2" s="2" t="inlineStr">
        <is>
          <t>Category</t>
        </is>
      </c>
      <c r="D2" s="2" t="inlineStr">
        <is>
          <t>Side</t>
        </is>
      </c>
      <c r="E2" s="2" t="inlineStr">
        <is>
          <t>Bid Price (c)</t>
        </is>
      </c>
      <c r="F2" s="2" t="inlineStr">
        <is>
          <t>Ask Price (c)</t>
        </is>
      </c>
      <c r="G2" s="2" t="inlineStr">
        <is>
          <t>Confidence %</t>
        </is>
      </c>
      <c r="H2" s="2" t="inlineStr">
        <is>
          <t>Classification</t>
        </is>
      </c>
      <c r="I2" s="2" t="inlineStr">
        <is>
          <t>Signal Score</t>
        </is>
      </c>
      <c r="J2" s="2" t="inlineStr">
        <is>
          <t>Status</t>
        </is>
      </c>
      <c r="K2" s="2" t="inlineStr">
        <is>
          <t>Validation Errors</t>
        </is>
      </c>
      <c r="L2" s="2" t="inlineStr">
        <is>
          <t>Edge %</t>
        </is>
      </c>
      <c r="M2" s="2" t="inlineStr">
        <is>
          <t>Ann. Edge %</t>
        </is>
      </c>
      <c r="N2" s="2" t="inlineStr">
        <is>
          <t>Fee Rate</t>
        </is>
      </c>
      <c r="O2" s="2" t="inlineStr">
        <is>
          <t>Days to Close</t>
        </is>
      </c>
      <c r="P2" s="2" t="inlineStr">
        <is>
          <t>Urgency Score</t>
        </is>
      </c>
      <c r="Q2" s="2" t="inlineStr">
        <is>
          <t>Close Date</t>
        </is>
      </c>
      <c r="R2" s="2" t="inlineStr">
        <is>
          <t>Suggested Size ($)</t>
        </is>
      </c>
      <c r="S2" s="2" t="inlineStr">
        <is>
          <t>Volume</t>
        </is>
      </c>
      <c r="T2" s="2" t="inlineStr">
        <is>
          <t>Volume Anomaly</t>
        </is>
      </c>
      <c r="U2" s="2" t="inlineStr">
        <is>
          <t>Anomaly Evidence</t>
        </is>
      </c>
      <c r="V2" s="2" t="inlineStr">
        <is>
          <t>Veto Reason</t>
        </is>
      </c>
      <c r="W2" s="2" t="inlineStr">
        <is>
          <t>Contradicting Signals</t>
        </is>
      </c>
      <c r="X2" s="2" t="inlineStr">
        <is>
          <t>Settlement Risk</t>
        </is>
      </c>
      <c r="Y2" s="2" t="inlineStr">
        <is>
          <t>What Would Change This</t>
        </is>
      </c>
      <c r="Z2" s="2" t="inlineStr">
        <is>
          <t>Recent Developments</t>
        </is>
      </c>
      <c r="AA2" s="2" t="inlineStr">
        <is>
          <t>Routing</t>
        </is>
      </c>
      <c r="AB2" s="2" t="inlineStr">
        <is>
          <t>Scan Type</t>
        </is>
      </c>
      <c r="AC2" s="2" t="inlineStr">
        <is>
          <t>Scanned At</t>
        </is>
      </c>
    </row>
    <row r="3" ht="45" customHeight="1">
      <c r="A3" s="3">
        <f>HYPERLINK("https://kalshi.com/markets/kxgabbardout","KXGABBARDOUT-26JUN-JUN29")</f>
        <v/>
      </c>
      <c r="B3" s="3" t="inlineStr">
        <is>
          <t>Will Tulsi Gabbard be out as Director of National Intelligence (DNI) before Jun 29, 2026?</t>
        </is>
      </c>
      <c r="C3" s="3" t="inlineStr">
        <is>
          <t>Politics</t>
        </is>
      </c>
      <c r="D3" s="3" t="inlineStr">
        <is>
          <t>NO</t>
        </is>
      </c>
      <c r="E3" s="3" t="n">
        <v>15</v>
      </c>
      <c r="F3" s="3" t="n">
        <v>20</v>
      </c>
      <c r="G3" s="3" t="n">
        <v>98</v>
      </c>
      <c r="H3" s="3" t="inlineStr">
        <is>
          <t>CERTAIN</t>
        </is>
      </c>
      <c r="I3" s="3" t="inlineStr"/>
      <c r="J3" s="3" t="inlineStr">
        <is>
          <t>OPPORTUNITY</t>
        </is>
      </c>
      <c r="K3" s="3" t="inlineStr"/>
      <c r="L3" s="3" t="n">
        <v>384.12</v>
      </c>
      <c r="M3" s="3" t="n">
        <v>12745.8</v>
      </c>
      <c r="N3" s="3" t="n">
        <v>1.5</v>
      </c>
      <c r="O3" s="3" t="n">
        <v>11</v>
      </c>
      <c r="P3" s="3" t="n">
        <v>82.81999999999999</v>
      </c>
      <c r="Q3" s="3" t="inlineStr">
        <is>
          <t>2026-06-29</t>
        </is>
      </c>
      <c r="R3" s="3" t="n">
        <v>50</v>
      </c>
      <c r="S3" s="3" t="n">
        <v>163349</v>
      </c>
      <c r="T3" s="3" t="inlineStr">
        <is>
          <t>YES @80c | ~$24,502 implied (163,349 contracts)</t>
        </is>
      </c>
      <c r="U3" s="3" t="inlineStr"/>
      <c r="V3" s="3" t="inlineStr"/>
      <c r="W3" s="3" t="inlineStr"/>
      <c r="X3" s="3" t="inlineStr">
        <is>
          <t>Kalshi could interpret 'leaves' to include announced resignation with a future effective date, but the secondary rule explicitly requires 'vacating the role within the time period' which June 30 does not satisfy</t>
        </is>
      </c>
      <c r="Y3" s="3" t="inlineStr">
        <is>
          <t>If Gabbard unexpectedly accelerates her departure and vacates the DNI role before June 29 (e.g., resigns effective immediately due to her husband's health emergency, or is removed by Trump before that date)</t>
        </is>
      </c>
      <c r="Z3" s="3" t="inlineStr">
        <is>
          <t>Gabbard posted a health update on June 4, 2026 confirming her husband's successful surgery and recovery — she remains actively serving as DNI. No reports of her vacating the role early. Aaron Lukas is confirmed to assume acting DNI duties on June 30.</t>
        </is>
      </c>
      <c r="AA3" s="3" t="inlineStr">
        <is>
          <t>notify</t>
        </is>
      </c>
      <c r="AB3" s="3" t="inlineStr"/>
      <c r="AC3" s="3" t="inlineStr"/>
    </row>
    <row r="4" ht="45" customHeight="1">
      <c r="A4" s="4">
        <f>HYPERLINK("https://kalshi.com/markets/kxdefgdp","KXDEFGDP-26OCT20-T5")</f>
        <v/>
      </c>
      <c r="B4" s="4" t="inlineStr">
        <is>
          <t>Will U.S. federal deficit-to-GDP for FY2026 be below 5%?</t>
        </is>
      </c>
      <c r="C4" s="4" t="inlineStr">
        <is>
          <t>Economics</t>
        </is>
      </c>
      <c r="D4" s="4" t="inlineStr">
        <is>
          <t>NO</t>
        </is>
      </c>
      <c r="E4" s="4" t="n">
        <v>87</v>
      </c>
      <c r="F4" s="4" t="n">
        <v>0</v>
      </c>
      <c r="G4" s="4" t="n">
        <v>96</v>
      </c>
      <c r="H4" s="4" t="inlineStr">
        <is>
          <t>LIKELY</t>
        </is>
      </c>
      <c r="I4" s="4" t="inlineStr"/>
      <c r="J4" s="4" t="inlineStr">
        <is>
          <t>skipped_not_certain</t>
        </is>
      </c>
      <c r="K4" s="4" t="inlineStr"/>
      <c r="L4" s="4" t="inlineStr"/>
      <c r="M4" s="4" t="inlineStr"/>
      <c r="N4" s="4" t="inlineStr"/>
      <c r="O4" s="4" t="inlineStr"/>
      <c r="P4" s="4" t="n">
        <v>48.99</v>
      </c>
      <c r="Q4" s="4" t="inlineStr">
        <is>
          <t>2026-10-20</t>
        </is>
      </c>
      <c r="R4" s="4" t="inlineStr"/>
      <c r="S4" s="4" t="n">
        <v>64762</v>
      </c>
      <c r="T4" s="4" t="inlineStr"/>
      <c r="U4" s="4" t="inlineStr"/>
      <c r="V4" s="4" t="inlineStr"/>
      <c r="W4" s="4" t="inlineStr"/>
      <c r="X4" s="4" t="inlineStr">
        <is>
          <t>The market resolves based on the Treasury/OMB Joint Statement on Budget Results for FY2026, typically released in mid-October. This official figure may differ modestly from projections (e.g., due to accounting adjustments or GDP revisions), but a swing from 6%+ to below 5% is unprecedented.</t>
        </is>
      </c>
      <c r="Y4" s="4" t="inlineStr">
        <is>
          <t>An unexpected surge in tax revenues or a dramatic spending reduction in the final 4 months of FY2026 could theoretically bring the deficit below 5% of GDP. A major economic event or policy change could also alter the trajectory, though none is anticipated.</t>
        </is>
      </c>
      <c r="Z4" s="4" t="inlineStr">
        <is>
          <t>Treasury confirmed the cumulative FY2026 deficit reached $1.2 trillion through May 2026 (June 10, 2026). The Treasury Department projects a ~$2.1 trillion total deficit for FY2026. The CBO February 2026 baseline projects $1.9 trillion = 5.8% of GDP. Trading Economics forecasts 6.6% of GDP. FY2025 was 5.8% of GDP and FY2026 is tracking higher due to rising interest costs and increased spending.</t>
        </is>
      </c>
      <c r="AA4" s="4" t="inlineStr">
        <is>
          <t>skipped_not_certain</t>
        </is>
      </c>
      <c r="AB4" s="4" t="inlineStr">
        <is>
          <t>deep_spread_scan</t>
        </is>
      </c>
      <c r="AC4" s="4" t="inlineStr">
        <is>
          <t>2026-06-17</t>
        </is>
      </c>
    </row>
    <row r="5" ht="45" customHeight="1">
      <c r="A5" s="4">
        <f>HYPERLINK("https://kalshi.com/markets/kxvenezdefacto","KXVENEZDEFACTO-27JAN01-DROD")</f>
        <v/>
      </c>
      <c r="B5" s="4" t="inlineStr">
        <is>
          <t>Will Delcy Rodríguez de facto hold head of state of Venezuela at the end of 2026?</t>
        </is>
      </c>
      <c r="C5" s="4" t="inlineStr">
        <is>
          <t>Politics</t>
        </is>
      </c>
      <c r="D5" s="4" t="inlineStr">
        <is>
          <t>YES</t>
        </is>
      </c>
      <c r="E5" s="4" t="n">
        <v>90</v>
      </c>
      <c r="F5" s="4" t="n">
        <v>0</v>
      </c>
      <c r="G5" s="4" t="n">
        <v>87</v>
      </c>
      <c r="H5" s="4" t="inlineStr">
        <is>
          <t>LIKELY</t>
        </is>
      </c>
      <c r="I5" s="4" t="inlineStr"/>
      <c r="J5" s="4" t="inlineStr">
        <is>
          <t>skipped_not_certain</t>
        </is>
      </c>
      <c r="K5" s="4" t="inlineStr"/>
      <c r="L5" s="4" t="inlineStr"/>
      <c r="M5" s="4" t="inlineStr"/>
      <c r="N5" s="4" t="inlineStr"/>
      <c r="O5" s="4" t="inlineStr"/>
      <c r="P5" s="4" t="n">
        <v>47.53</v>
      </c>
      <c r="Q5" s="4" t="inlineStr">
        <is>
          <t>2027-01-02</t>
        </is>
      </c>
      <c r="R5" s="4" t="inlineStr"/>
      <c r="S5" s="4" t="n">
        <v>14668</v>
      </c>
      <c r="T5" s="4" t="inlineStr"/>
      <c r="U5" s="4" t="inlineStr"/>
      <c r="V5" s="4" t="inlineStr"/>
      <c r="W5" s="4" t="inlineStr">
        <is>
          <t>Internal PSUV rival Interior Minister Diosdado Cabello has significant power over the security apparatus and could pose a threat to Rodríguez's position | Cracks in PSUV unity have emerged over Rodríguez's cooperation with the US, deportation of Alex Saab, and policy shifts away from Chávez-era orthodoxy | Rodríguez's 90-day constitutional term as acting president expired in April 2026, with opposition calling for elections and raising legitimacy questions</t>
        </is>
      </c>
      <c r="X5" s="4" t="inlineStr">
        <is>
          <t>Medium — 198 days remaining, internal PSUV rivalries and unresolved constitutional succession questions create non-trivial path risk, but Rodríguez has demonstrated 5+ months of stable control with US backing</t>
        </is>
      </c>
      <c r="Y5" s="4" t="inlineStr">
        <is>
          <t>A coup by Diosdado Cabello or other PSUV rivals, US-brokered transition to a new government, or mass defections from the military/security apparatus removing Rodríguez from power before end of 2026</t>
        </is>
      </c>
      <c r="Z5" s="4" t="inlineStr">
        <is>
          <t>Rodríguez completed a state visit to India June 3-7, 2026, strengthening energy ties; public tension with Diosdado Cabello surfaced June 1-2 over corruption complaints; María Corina Machado opened door to election negotiations; AP reported growing PSUV internal cracks over cooperation with Washington; US signed $70B immigration enforcement bill June 10</t>
        </is>
      </c>
      <c r="AA5" s="4" t="inlineStr">
        <is>
          <t>skipped_not_certain</t>
        </is>
      </c>
      <c r="AB5" s="4" t="inlineStr">
        <is>
          <t>deep_spread_scan</t>
        </is>
      </c>
      <c r="AC5" s="4" t="inlineStr">
        <is>
          <t>2026-06-17</t>
        </is>
      </c>
    </row>
    <row r="6" ht="45" customHeight="1">
      <c r="A6" s="4">
        <f>HYPERLINK("https://kalshi.com/markets/kxdeportations","KXDEPORTATIONS-27JAN01-T400000")</f>
        <v/>
      </c>
      <c r="B6" s="4" t="inlineStr">
        <is>
          <t>Will the number of ICE removals be above 400000 in FY2026?</t>
        </is>
      </c>
      <c r="C6" s="4" t="inlineStr">
        <is>
          <t>Politics</t>
        </is>
      </c>
      <c r="D6" s="4" t="inlineStr">
        <is>
          <t>YES</t>
        </is>
      </c>
      <c r="E6" s="4" t="n">
        <v>88</v>
      </c>
      <c r="F6" s="4" t="n">
        <v>0</v>
      </c>
      <c r="G6" s="4" t="n">
        <v>93</v>
      </c>
      <c r="H6" s="4" t="inlineStr">
        <is>
          <t>LIKELY</t>
        </is>
      </c>
      <c r="I6" s="4" t="inlineStr"/>
      <c r="J6" s="4" t="inlineStr">
        <is>
          <t>skipped_not_certain</t>
        </is>
      </c>
      <c r="K6" s="4" t="inlineStr"/>
      <c r="L6" s="4" t="inlineStr"/>
      <c r="M6" s="4" t="inlineStr"/>
      <c r="N6" s="4" t="inlineStr"/>
      <c r="O6" s="4" t="inlineStr"/>
      <c r="P6" s="4" t="n">
        <v>46.94</v>
      </c>
      <c r="Q6" s="4" t="inlineStr">
        <is>
          <t>2027-01-01</t>
        </is>
      </c>
      <c r="R6" s="4" t="inlineStr"/>
      <c r="S6" s="4" t="n">
        <v>18613</v>
      </c>
      <c r="T6" s="4" t="inlineStr"/>
      <c r="U6" s="4" t="inlineStr"/>
      <c r="V6" s="4" t="inlineStr"/>
      <c r="W6" s="4" t="inlineStr"/>
      <c r="X6" s="4" t="inlineStr">
        <is>
          <t>Low — 197 days to close (FY2026 ends Sep 30, 2026); data is already 58.6% toward threshold with half the fiscal year elapsed; the remaining ~926/day needed is 27% below the current pace of 1,266/day, providing a substantial margin of safety; funding secured through June 2026 legislation</t>
        </is>
      </c>
      <c r="Y6" s="4" t="inlineStr">
        <is>
          <t>A major court ruling blocking ICE enforcement, a dramatic policy reversal, or a budget crisis halting removal operations — none of which are currently indicated given the $70B funding package signed June 10 and sustained administrative commitment</t>
        </is>
      </c>
      <c r="Z6" s="4" t="inlineStr">
        <is>
          <t>ICE reached record removal flight pace in April 2026; $70B immigration enforcement funding bill signed June 10; ICE added 12,000+ agents and expanded detention capacity to 212 centers; Dallas ICE office reported 35% of 2026 arrestees already removed vs 4.7% in 2025; Austin Kocher/TRAC data confirmed 234,236 removals through Apr 4 with sustained 1,266/day pace</t>
        </is>
      </c>
      <c r="AA6" s="4" t="inlineStr">
        <is>
          <t>skipped_not_certain</t>
        </is>
      </c>
      <c r="AB6" s="4" t="inlineStr">
        <is>
          <t>deep_spread_scan</t>
        </is>
      </c>
      <c r="AC6" s="4" t="inlineStr">
        <is>
          <t>2026-06-17</t>
        </is>
      </c>
    </row>
    <row r="7" ht="45" customHeight="1">
      <c r="A7" s="4">
        <f>HYPERLINK("https://kalshi.com/markets/kxnycminwage","KXNYCMINWAGE-27JAN01")</f>
        <v/>
      </c>
      <c r="B7" s="4" t="inlineStr">
        <is>
          <t>Will Mamdani raise the minimum wage to $30 before 2027?</t>
        </is>
      </c>
      <c r="C7" s="4" t="inlineStr">
        <is>
          <t>Politics</t>
        </is>
      </c>
      <c r="D7" s="4" t="inlineStr">
        <is>
          <t>NO</t>
        </is>
      </c>
      <c r="E7" s="4" t="n">
        <v>88</v>
      </c>
      <c r="F7" s="4" t="n">
        <v>0</v>
      </c>
      <c r="G7" s="4" t="n">
        <v>85</v>
      </c>
      <c r="H7" s="4" t="inlineStr">
        <is>
          <t>LIKELY</t>
        </is>
      </c>
      <c r="I7" s="4" t="inlineStr"/>
      <c r="J7" s="4" t="inlineStr">
        <is>
          <t>skipped_not_certain</t>
        </is>
      </c>
      <c r="K7" s="4" t="inlineStr"/>
      <c r="L7" s="4" t="inlineStr"/>
      <c r="M7" s="4" t="inlineStr"/>
      <c r="N7" s="4" t="inlineStr"/>
      <c r="O7" s="4" t="inlineStr"/>
      <c r="P7" s="4" t="n">
        <v>46.94</v>
      </c>
      <c r="Q7" s="4" t="inlineStr">
        <is>
          <t>2027-01-01</t>
        </is>
      </c>
      <c r="R7" s="4" t="inlineStr"/>
      <c r="S7" s="4" t="n">
        <v>17409</v>
      </c>
      <c r="T7" s="4" t="inlineStr"/>
      <c r="U7" s="4" t="inlineStr"/>
      <c r="V7" s="4" t="inlineStr"/>
      <c r="W7" s="4" t="inlineStr">
        <is>
          <t>Bill Int. No. 757 (NYC Minimum Wage Act) was introduced in City Council on March 10, 2026, and its text explicitly sets $30/hr by 2030 for large employers — if enacted before Jan 1, 2027, this would satisfy the market's resolution criterion | Mayor Mamdani campaigned on the $30 by 2030 platform and won; Gov. Hochul has shown willingness to align with his agenda, which could facilitate state-level enabling legislation</t>
        </is>
      </c>
      <c r="X7" s="4" t="inlineStr">
        <is>
          <t>Kalshi's rules define 'enactment' as completion of all constitutional and legal requirements. If a bill is signed but immediately challenged in court, Kalshi would need to determine whether enactment occurred despite pending litigation — creating ambiguity</t>
        </is>
      </c>
      <c r="Y7" s="4" t="inlineStr">
        <is>
          <t>If the City Council passes Bill Int. No. 757 (or equivalent), Mayor Mamdani signs it, and either state enabling legislation S3952 passes or courts uphold NYC's home rule wage authority — all before Jan 1, 2027</t>
        </is>
      </c>
      <c r="Z7" s="4" t="inlineStr">
        <is>
          <t>Bill Int. No. 757 was introduced in NYC Council on March 10, 2026, proposing phased increases from $17 to $30 by 2030 for large employers (500+). The bill has 12 co-sponsors but has not yet had committee hearings. Mayor Mamdani campaigned on $30 by 2030 but his administration has not formally endorsed the specific bill. Council Speaker Menin (moderate Democrat) is reviewing the legislation. State enabling bill S3952 remains unpassed. Legal authority for NYC to set its own minimum wage remains unresolved since the 1963 Wholesale Laundry Board ruling.</t>
        </is>
      </c>
      <c r="AA7" s="4" t="inlineStr">
        <is>
          <t>skipped_not_certain</t>
        </is>
      </c>
      <c r="AB7" s="4" t="inlineStr">
        <is>
          <t>deep_spread_scan</t>
        </is>
      </c>
      <c r="AC7" s="4" t="inlineStr">
        <is>
          <t>2026-06-17</t>
        </is>
      </c>
    </row>
    <row r="8" ht="45" customHeight="1">
      <c r="A8" s="4">
        <f>HYPERLINK("https://kalshi.com/markets/kxlcpimaxyoy","KXLCPIMAXYOY-27-P5.5")</f>
        <v/>
      </c>
      <c r="B8" s="4" t="inlineStr">
        <is>
          <t>Inflation surge in 2026?</t>
        </is>
      </c>
      <c r="C8" s="4" t="inlineStr">
        <is>
          <t>Economics</t>
        </is>
      </c>
      <c r="D8" s="4" t="inlineStr">
        <is>
          <t>NO</t>
        </is>
      </c>
      <c r="E8" s="4" t="n">
        <v>88</v>
      </c>
      <c r="F8" s="4" t="n">
        <v>0</v>
      </c>
      <c r="G8" s="4" t="n">
        <v>80</v>
      </c>
      <c r="H8" s="4" t="inlineStr">
        <is>
          <t>LIKELY</t>
        </is>
      </c>
      <c r="I8" s="4" t="inlineStr"/>
      <c r="J8" s="4" t="inlineStr">
        <is>
          <t>skipped_not_certain</t>
        </is>
      </c>
      <c r="K8" s="4" t="inlineStr"/>
      <c r="L8" s="4" t="inlineStr"/>
      <c r="M8" s="4" t="inlineStr"/>
      <c r="N8" s="4" t="inlineStr"/>
      <c r="O8" s="4" t="inlineStr"/>
      <c r="P8" s="4" t="n">
        <v>46.6</v>
      </c>
      <c r="Q8" s="4" t="inlineStr">
        <is>
          <t>2027-02-14</t>
        </is>
      </c>
      <c r="R8" s="4" t="inlineStr"/>
      <c r="S8" s="4" t="n">
        <v>22469</v>
      </c>
      <c r="T8" s="4" t="inlineStr"/>
      <c r="U8" s="4" t="inlineStr"/>
      <c r="V8" s="4" t="inlineStr"/>
      <c r="W8" s="4" t="inlineStr">
        <is>
          <t>The Iran war has driven YoY energy inflation to approximately 24%, and Deutsche Bank warns energy YoY inflation may remain above 10% until early 2027 — further escalation could push headline CPI significantly higher | The YoY CPI trend is sharply upward (2.4% in Feb to 4.2% in May, a 1.8% increase in 3 months), and with 7 more CPI releases remaining in 2026 (Jun-Dec), sustained energy-driven momentum could potentially reach 5.5%</t>
        </is>
      </c>
      <c r="X8" s="4" t="inlineStr">
        <is>
          <t>Market resolves based on BLS-published CPI-U NSA YoY rounded to one decimal place. BLS data revisions after the initial monthly release do not affect settlement. In case of federal government shutdown delaying data, Kalshi may extend the market per its rules</t>
        </is>
      </c>
      <c r="Y8" s="4" t="inlineStr">
        <is>
          <t>Further escalation of the Iran war driving sustained oil price spikes above $100/barrel, another major supply-chain disruption, or significant tariff pass-through accelerating headline CPI above 5.5% in any of the 7 remaining 2026 months (Jun-Dec)</t>
        </is>
      </c>
      <c r="Z8" s="4" t="inlineStr">
        <is>
          <t>May 2026 CPI was released June 10, 2026 at 4.2% YoY — the highest in three years, driven by 23.5% energy inflation from the Iran war. Core CPI remained tame at 2.9% YoY. Gasoline prices have declined ~40c/gallon from the May 20 peak. Cleveland Fed nowcasts June CPI at 4.05% YoY. CME FedWatch shows 63% probability of a rate hike by October 2026. Goldman Sachs withdrew rate-cut forecasts. Deutsche Bank projects energy inflation above 10% until early 2027. Preseen median for June CPI is 3.9-4.0%.</t>
        </is>
      </c>
      <c r="AA8" s="4" t="inlineStr">
        <is>
          <t>skipped_not_certain</t>
        </is>
      </c>
      <c r="AB8" s="4" t="inlineStr">
        <is>
          <t>deep_spread_scan</t>
        </is>
      </c>
      <c r="AC8" s="4" t="inlineStr">
        <is>
          <t>2026-06-17</t>
        </is>
      </c>
    </row>
    <row r="9" ht="45" customHeight="1">
      <c r="A9" s="4">
        <f>HYPERLINK("https://kalshi.com/markets/kxipofannie","KXIPOFANNIE-27JAN01")</f>
        <v/>
      </c>
      <c r="B9" s="4" t="inlineStr">
        <is>
          <t>When will Fannie Mae officially announce an IPO?</t>
        </is>
      </c>
      <c r="C9" s="4" t="inlineStr">
        <is>
          <t>Economics</t>
        </is>
      </c>
      <c r="D9" s="4" t="inlineStr">
        <is>
          <t>NO</t>
        </is>
      </c>
      <c r="E9" s="4" t="n">
        <v>89</v>
      </c>
      <c r="F9" s="4" t="n">
        <v>0</v>
      </c>
      <c r="G9" s="4" t="n">
        <v>78</v>
      </c>
      <c r="H9" s="4" t="inlineStr">
        <is>
          <t>LIKELY</t>
        </is>
      </c>
      <c r="I9" s="4" t="inlineStr"/>
      <c r="J9" s="4" t="inlineStr">
        <is>
          <t>skipped_not_certain</t>
        </is>
      </c>
      <c r="K9" s="4" t="inlineStr"/>
      <c r="L9" s="4" t="inlineStr"/>
      <c r="M9" s="4" t="inlineStr"/>
      <c r="N9" s="4" t="inlineStr"/>
      <c r="O9" s="4" t="inlineStr"/>
      <c r="P9" s="4" t="n">
        <v>45.93</v>
      </c>
      <c r="Q9" s="4" t="inlineStr">
        <is>
          <t>2027-01-01</t>
        </is>
      </c>
      <c r="R9" s="4" t="inlineStr"/>
      <c r="S9" s="4" t="n">
        <v>5461</v>
      </c>
      <c r="T9" s="4" t="inlineStr"/>
      <c r="U9" s="4" t="inlineStr"/>
      <c r="V9" s="4" t="inlineStr"/>
      <c r="W9" s="4" t="inlineStr">
        <is>
          <t>Trump told reporters on June 5, 2026 that a Fannie Mae IPO is 'still on the table' and the administration is still considering it</t>
        </is>
      </c>
      <c r="X9" s="4" t="inlineStr">
        <is>
          <t>The market resolves to Yes if Fannie Mae confirms an IPO before Jan 1, 2027 via SEC S-1 effectiveness, IPO pricing, or exchange ticker assignment. Trump retains executive authority to push this forward as a political priority, but current signals suggest no near-term action.</t>
        </is>
      </c>
      <c r="Y9" s="4" t="inlineStr">
        <is>
          <t>A formal SEC Form S-1 filing by Fannie Mae, an executive order from Trump directing FHFA to proceed, or a public commitment to a specific IPO timeline would change the outlook.</t>
        </is>
      </c>
      <c r="Z9" s="4" t="inlineStr">
        <is>
          <t>On June 5, 2026, Trump reiterated the Fannie Mae IPO is 'still on the table' but stressed 'there's no rush,' while FHFA Director Pulte prepares to take on acting DNI duties starting June 30 — splitting his focus between housing finance and intelligence leadership. Fannie Mae stock (FNMA) is down ~37% YTD as of mid-June 2026, reflecting market skepticism.</t>
        </is>
      </c>
      <c r="AA9" s="4" t="inlineStr">
        <is>
          <t>skipped_not_certain</t>
        </is>
      </c>
      <c r="AB9" s="4" t="inlineStr">
        <is>
          <t>deep_spread_scan</t>
        </is>
      </c>
      <c r="AC9" s="4" t="inlineStr">
        <is>
          <t>2026-06-17</t>
        </is>
      </c>
    </row>
    <row r="10" ht="45" customHeight="1">
      <c r="A10" s="4">
        <f>HYPERLINK("https://kalshi.com/markets/kxnumredistricting","KXNUMREDISTRICTING-26NOV03-E10")</f>
        <v/>
      </c>
      <c r="B10" s="4" t="inlineStr">
        <is>
          <t>Will the number of distinct U.S. states satisfying the REDISTRICTING Payout Criterion before November 3, 2026, treating “after Issuance” as “after July 1, 2025” be exactly 10 before the 2026 midterms?</t>
        </is>
      </c>
      <c r="C10" s="4" t="inlineStr">
        <is>
          <t>Elections</t>
        </is>
      </c>
      <c r="D10" s="4" t="inlineStr">
        <is>
          <t>YES</t>
        </is>
      </c>
      <c r="E10" s="4" t="n">
        <v>88</v>
      </c>
      <c r="F10" s="4" t="n">
        <v>0</v>
      </c>
      <c r="G10" s="4" t="n">
        <v>68</v>
      </c>
      <c r="H10" s="4" t="inlineStr">
        <is>
          <t>LIKELY</t>
        </is>
      </c>
      <c r="I10" s="4" t="inlineStr"/>
      <c r="J10" s="4" t="inlineStr">
        <is>
          <t>skipped_not_certain</t>
        </is>
      </c>
      <c r="K10" s="4" t="inlineStr"/>
      <c r="L10" s="4" t="inlineStr"/>
      <c r="M10" s="4" t="inlineStr"/>
      <c r="N10" s="4" t="inlineStr"/>
      <c r="O10" s="4" t="inlineStr"/>
      <c r="P10" s="4" t="n">
        <v>45.88</v>
      </c>
      <c r="Q10" s="4" t="inlineStr">
        <is>
          <t>2026-11-03</t>
        </is>
      </c>
      <c r="R10" s="4" t="inlineStr"/>
      <c r="S10" s="4" t="n">
        <v>3006</v>
      </c>
      <c r="T10" s="4" t="inlineStr"/>
      <c r="U10" s="4" t="inlineStr"/>
      <c r="V10" s="4" t="inlineStr"/>
      <c r="W10" s="4" t="inlineStr">
        <is>
          <t>The market prices NO at 88c, implying a ~12% probability of exactly 10 states, suggesting traders expect additional states to redistrict or some current maps to be invalidated | Ongoing litigation challenging new maps in Florida and potentially other states could alter the count if courts order further changes</t>
        </is>
      </c>
      <c r="X10" s="4" t="inlineStr">
        <is>
          <t>The market uses the REDISTRICTING contract's payout criterion with 'after Issuance' treated as 'after July 1, 2025.' If the Ballotpedia/NCSL count satisfies this criterion, the current 10 states would resolve YES. Risk is that additional states enact maps before Nov 3, 2026 (138 days remain) or that one of the 10 maps is invalidated and not replaced in time.</t>
        </is>
      </c>
      <c r="Y10" s="4" t="inlineStr">
        <is>
          <t>A court-ordered new map in any additional state (e.g., Georgia, Florida map struck down) or a surprise special session in a state that previously failed would push the count past 10, resolving NO.</t>
        </is>
      </c>
      <c r="Z10" s="4" t="inlineStr">
        <is>
          <t>Louisiana enacted its new map on May 29, 2026, bringing the count to 10. The Cook Political Report on June 3, 2026 characterized the mid-decade redistricting effort as concluding ('As Chaotic Redistricting Sprint Ends'). Florida's new map faces a legal challenge filed May 5, 2026. 138 days remain until the Nov 3, 2026 market close.</t>
        </is>
      </c>
      <c r="AA10" s="4" t="inlineStr">
        <is>
          <t>skipped_not_certain</t>
        </is>
      </c>
      <c r="AB10" s="4" t="inlineStr">
        <is>
          <t>deep_spread_scan</t>
        </is>
      </c>
      <c r="AC10" s="4" t="inlineStr">
        <is>
          <t>2026-06-17</t>
        </is>
      </c>
    </row>
    <row r="11" ht="45" customHeight="1">
      <c r="A11" s="4">
        <f>HYPERLINK("https://kalshi.com/markets/kxsuperbowlheadline","KXSUPERBOWLHEADLINE-27-BTS")</f>
        <v/>
      </c>
      <c r="B11" s="4" t="inlineStr">
        <is>
          <t>Who will headline the Pro Football Championship Halftime Show?</t>
        </is>
      </c>
      <c r="C11" s="4" t="inlineStr">
        <is>
          <t>Entertainment</t>
        </is>
      </c>
      <c r="D11" s="4" t="inlineStr">
        <is>
          <t>NO</t>
        </is>
      </c>
      <c r="E11" s="4" t="n">
        <v>89</v>
      </c>
      <c r="F11" s="4" t="n">
        <v>0</v>
      </c>
      <c r="G11" s="4" t="n">
        <v>85</v>
      </c>
      <c r="H11" s="4" t="inlineStr">
        <is>
          <t>LIKELY</t>
        </is>
      </c>
      <c r="I11" s="4" t="inlineStr"/>
      <c r="J11" s="4" t="inlineStr">
        <is>
          <t>skipped_not_certain</t>
        </is>
      </c>
      <c r="K11" s="4" t="inlineStr"/>
      <c r="L11" s="4" t="inlineStr"/>
      <c r="M11" s="4" t="inlineStr"/>
      <c r="N11" s="4" t="inlineStr"/>
      <c r="O11" s="4" t="inlineStr"/>
      <c r="P11" s="4" t="n">
        <v>44.88</v>
      </c>
      <c r="Q11" s="4" t="inlineStr">
        <is>
          <t>2027-02-15</t>
        </is>
      </c>
      <c r="R11" s="4" t="inlineStr"/>
      <c r="S11" s="4" t="n">
        <v>3958</v>
      </c>
      <c r="T11" s="4" t="inlineStr"/>
      <c r="U11" s="4" t="inlineStr"/>
      <c r="V11" s="4" t="inlineStr"/>
      <c r="W11" s="4" t="inlineStr">
        <is>
          <t>J-Hope called performing at the Super Bowl halftime show his 'dream' | Billboard fan poll showed 85% of respondents want BTS to headline the 2027 Super Bowl halftime show</t>
        </is>
      </c>
      <c r="X11" s="4" t="inlineStr">
        <is>
          <t>Low — standard Kalshi event market with clear binary resolution criteria; NFL announcement is a verifiable public event</t>
        </is>
      </c>
      <c r="Y11" s="4" t="inlineStr">
        <is>
          <t>Official NFL/Roc Nation announcement of the Super Bowl LXI halftime performer (whether BTS or another artist), or BTS cancelling their Melbourne dates, or credible reporting that BTS is in active negotiations with the NFL</t>
        </is>
      </c>
      <c r="Z11" s="4" t="inlineStr">
        <is>
          <t>BTS added a third Melbourne show on June 2, 2026, solidifying their Australian tour dates for Feb 10, 12, 13 at Marvel Stadium. FanDuel Canada released Super Bowl LXI halftime performer odds (Feb 2026) without listing BTS — Miley Cyrus leads. RM addressed Super Bowl speculation saying 'there is no official offer yet.' Billboard fan poll shows 85% support for BTS but betting markets disagree. NFL typically announces performer in September 2026 via Roc Nation.</t>
        </is>
      </c>
      <c r="AA11" s="4" t="inlineStr">
        <is>
          <t>skipped_not_certain</t>
        </is>
      </c>
      <c r="AB11" s="4" t="inlineStr">
        <is>
          <t>deep_spread_scan</t>
        </is>
      </c>
      <c r="AC11" s="4" t="inlineStr">
        <is>
          <t>2026-06-17</t>
        </is>
      </c>
    </row>
    <row r="12" ht="45" customHeight="1">
      <c r="A12" s="4">
        <f>HYPERLINK("https://kalshi.com/markets/kxsuperbowlheadline","KXSUPERBOWLHEADLINE-27-SAB")</f>
        <v/>
      </c>
      <c r="B12" s="4" t="inlineStr">
        <is>
          <t>Who will headline the Pro Football Championship Halftime Show?</t>
        </is>
      </c>
      <c r="C12" s="4" t="inlineStr">
        <is>
          <t>Entertainment</t>
        </is>
      </c>
      <c r="D12" s="4" t="inlineStr">
        <is>
          <t>NO</t>
        </is>
      </c>
      <c r="E12" s="4" t="n">
        <v>86</v>
      </c>
      <c r="F12" s="4" t="n">
        <v>0</v>
      </c>
      <c r="G12" s="4" t="n">
        <v>82</v>
      </c>
      <c r="H12" s="4" t="inlineStr">
        <is>
          <t>LIKELY</t>
        </is>
      </c>
      <c r="I12" s="4" t="inlineStr"/>
      <c r="J12" s="4" t="inlineStr">
        <is>
          <t>skipped_not_certain</t>
        </is>
      </c>
      <c r="K12" s="4" t="inlineStr"/>
      <c r="L12" s="4" t="inlineStr"/>
      <c r="M12" s="4" t="inlineStr"/>
      <c r="N12" s="4" t="inlineStr"/>
      <c r="O12" s="4" t="inlineStr"/>
      <c r="P12" s="4" t="n">
        <v>44.07</v>
      </c>
      <c r="Q12" s="4" t="inlineStr">
        <is>
          <t>2027-02-15</t>
        </is>
      </c>
      <c r="R12" s="4" t="inlineStr"/>
      <c r="S12" s="4" t="n">
        <v>4133</v>
      </c>
      <c r="T12" s="4" t="inlineStr"/>
      <c r="U12" s="4" t="inlineStr"/>
      <c r="V12" s="4" t="inlineStr"/>
      <c r="W12" s="4" t="inlineStr">
        <is>
          <t>Some UK sportsbooks (OLBG) list Sabrina Carpenter as a 2/1 co-favorite alongside Ariana Grande for Super Bowl LXI, suggesting she is at least in the conversation and within the range of plausible candidates.</t>
        </is>
      </c>
      <c r="X12" s="4" t="inlineStr">
        <is>
          <t>Kalshi will resolve based on official announcements. If Carpenter is announced as a co-headliner or featured guest alongside the main headliner, the rules state 'headline the Pro Football Championship Halftime Show' — a co-headliner or joint billing may or may not satisfy this criterion depending on Kalshi's interpretation.</t>
        </is>
      </c>
      <c r="Y12" s="4" t="inlineStr">
        <is>
          <t>The NFL announcing Sabrina Carpenter as the Super Bowl LXI halftime headliner, or a major betting odds shift making her the clear favorite across multiple sportsbooks. Conversely, the NFL announcing a different artist before February 2027 would confirm NO with near-certainty.</t>
        </is>
      </c>
      <c r="Z12" s="4" t="inlineStr">
        <is>
          <t>As of June 2026, the Super Bowl LXI headliner market is wide open with 48 listed performers on Kalshi. Justin Bieber has emerged as the slight favorite (~33-39%), followed by Miley Cyrus (~28-33%). Sabrina Carpenter is listed at ~13% on Kalshi (up 4% recently) and is mentioned across multiple betting platforms, but remains behind the top contenders. The NFL typically announces the performer in September, ~3 months from now. No official announcement has been made.</t>
        </is>
      </c>
      <c r="AA12" s="4" t="inlineStr">
        <is>
          <t>skipped_not_certain</t>
        </is>
      </c>
      <c r="AB12" s="4" t="inlineStr">
        <is>
          <t>deep_spread_scan</t>
        </is>
      </c>
      <c r="AC12" s="4" t="inlineStr">
        <is>
          <t>2026-06-17</t>
        </is>
      </c>
    </row>
    <row r="13" ht="45" customHeight="1">
      <c r="A13" s="4">
        <f>HYPERLINK("https://kalshi.com/markets/kxipofannie","KXIPOFANNIE-27FEB01")</f>
        <v/>
      </c>
      <c r="B13" s="4" t="inlineStr">
        <is>
          <t>When will Fannie Mae officially announce an IPO?</t>
        </is>
      </c>
      <c r="C13" s="4" t="inlineStr">
        <is>
          <t>Economics</t>
        </is>
      </c>
      <c r="D13" s="4" t="inlineStr">
        <is>
          <t>NO</t>
        </is>
      </c>
      <c r="E13" s="4" t="n">
        <v>86</v>
      </c>
      <c r="F13" s="4" t="n">
        <v>0</v>
      </c>
      <c r="G13" s="4" t="n">
        <v>88</v>
      </c>
      <c r="H13" s="4" t="inlineStr">
        <is>
          <t>LIKELY</t>
        </is>
      </c>
      <c r="I13" s="4" t="inlineStr"/>
      <c r="J13" s="4" t="inlineStr">
        <is>
          <t>skipped_not_certain</t>
        </is>
      </c>
      <c r="K13" s="4" t="inlineStr"/>
      <c r="L13" s="4" t="inlineStr"/>
      <c r="M13" s="4" t="inlineStr"/>
      <c r="N13" s="4" t="inlineStr"/>
      <c r="O13" s="4" t="inlineStr"/>
      <c r="P13" s="4" t="n">
        <v>43.73</v>
      </c>
      <c r="Q13" s="4" t="inlineStr">
        <is>
          <t>2027-02-01</t>
        </is>
      </c>
      <c r="R13" s="4" t="inlineStr"/>
      <c r="S13" s="4" t="n">
        <v>3420</v>
      </c>
      <c r="T13" s="4" t="inlineStr"/>
      <c r="U13" s="4" t="inlineStr"/>
      <c r="V13" s="4" t="inlineStr"/>
      <c r="W13" s="4" t="inlineStr"/>
      <c r="X13" s="4" t="inlineStr">
        <is>
          <t>Kalshi's rules define an IPO as confirmed by S-1 effectiveness, pricing, or ticker assignment. If the administration fast-tracks a direct listing or alternative structure that technically meets one of these criteria, it could settle Yes despite the broader improbability</t>
        </is>
      </c>
      <c r="Y13" s="4" t="inlineStr">
        <is>
          <t>If the SEC declares Fannie Mae's Form S-1 effective, if the Treasury and FHFA announce a definitive timeline with specific milestones, or if a securities exchange assigns a ticker symbol before Feb 1, 2027</t>
        </is>
      </c>
      <c r="Z13" s="4" t="inlineStr">
        <is>
          <t>June 5-6, 2026: Trump valued Fannie+Freddie at a combined $1T, causing a brief 10% spike in FNMA shares that reversed by midday when analysts noted the combined book value is ~$187B. Also on June 6, FHFA Director Pulte was named acting DNI effective June 30 while retaining his FHFA role, introducing a second full-time responsibility that complicates the privatization timeline. The administration reaffirmed the IPO is 'still on the table' but provided no timeline, and all relevant agencies declined comment on next steps.</t>
        </is>
      </c>
      <c r="AA13" s="4" t="inlineStr">
        <is>
          <t>skipped_not_certain</t>
        </is>
      </c>
      <c r="AB13" s="4" t="inlineStr">
        <is>
          <t>deep_spread_scan</t>
        </is>
      </c>
      <c r="AC13" s="4" t="inlineStr">
        <is>
          <t>2026-06-17</t>
        </is>
      </c>
    </row>
    <row r="14" ht="45" customHeight="1">
      <c r="A14" s="4">
        <f>HYPERLINK("https://kalshi.com/markets/kxsuperbowlheadline","KXSUPERBOWLHEADLINE-27-BIL")</f>
        <v/>
      </c>
      <c r="B14" s="4" t="inlineStr">
        <is>
          <t>Who will headline the Pro Football Championship Halftime Show?</t>
        </is>
      </c>
      <c r="C14" s="4" t="inlineStr">
        <is>
          <t>Entertainment</t>
        </is>
      </c>
      <c r="D14" s="4" t="inlineStr">
        <is>
          <t>NO</t>
        </is>
      </c>
      <c r="E14" s="4" t="n">
        <v>86</v>
      </c>
      <c r="F14" s="4" t="n">
        <v>0</v>
      </c>
      <c r="G14" s="4" t="n">
        <v>82</v>
      </c>
      <c r="H14" s="4" t="inlineStr">
        <is>
          <t>LIKELY</t>
        </is>
      </c>
      <c r="I14" s="4" t="inlineStr"/>
      <c r="J14" s="4" t="inlineStr">
        <is>
          <t>skipped_not_certain</t>
        </is>
      </c>
      <c r="K14" s="4" t="inlineStr"/>
      <c r="L14" s="4" t="inlineStr"/>
      <c r="M14" s="4" t="inlineStr"/>
      <c r="N14" s="4" t="inlineStr"/>
      <c r="O14" s="4" t="inlineStr"/>
      <c r="P14" s="4" t="n">
        <v>43.24</v>
      </c>
      <c r="Q14" s="4" t="inlineStr">
        <is>
          <t>2027-02-15</t>
        </is>
      </c>
      <c r="R14" s="4" t="inlineStr"/>
      <c r="S14" s="4" t="n">
        <v>2817</v>
      </c>
      <c r="T14" s="4" t="inlineStr"/>
      <c r="U14" s="4" t="inlineStr"/>
      <c r="V14" s="4" t="inlineStr"/>
      <c r="W14" s="4" t="inlineStr">
        <is>
          <t>Billie Eilish is a Los Angeles native and Super Bowl LXI will be held at SoFi Stadium in Inglewood, CA, making a local artist booking plausible</t>
        </is>
      </c>
      <c r="X14" s="4" t="inlineStr">
        <is>
          <t>Standard — Kalshi will resolve based on official NFL announcement. Minimal settlement ambiguity since the rules specify 'announced to headline' as the trigger.</t>
        </is>
      </c>
      <c r="Y14" s="4" t="inlineStr">
        <is>
          <t>If the NFL formally announces Billie Eilish as the Super Bowl LXI halftime headliner, or if credible reports emerge that she is in advanced negotiations with the league</t>
        </is>
      </c>
      <c r="Z14" s="4" t="inlineStr">
        <is>
          <t>Multiple polls and speculative articles from Feb-Jun 2026 discuss potential 2027 performers, with Eilish consistently ranked as a longshot. FanDuel odds as of Feb 17, 2026 confirm +1500. The 2026 Super Bowl (Bad Bunny) has already concluded, shifting focus to 2027. Still no announcement from the NFL.</t>
        </is>
      </c>
      <c r="AA14" s="4" t="inlineStr">
        <is>
          <t>skipped_not_certain</t>
        </is>
      </c>
      <c r="AB14" s="4" t="inlineStr">
        <is>
          <t>deep_spread_scan</t>
        </is>
      </c>
      <c r="AC14" s="4" t="inlineStr">
        <is>
          <t>2026-06-17</t>
        </is>
      </c>
    </row>
    <row r="15" ht="45" customHeight="1">
      <c r="A15" s="4">
        <f>HYPERLINK("https://kalshi.com/markets/kxmuskchallengers","KXMUSKCHALLENGERS-26-10")</f>
        <v/>
      </c>
      <c r="B15" s="4" t="inlineStr">
        <is>
          <t>How many Elon-backed challengers will win seats in Congress in 2026?</t>
        </is>
      </c>
      <c r="C15" s="4" t="inlineStr">
        <is>
          <t>Elections</t>
        </is>
      </c>
      <c r="D15" s="4" t="inlineStr">
        <is>
          <t>NO</t>
        </is>
      </c>
      <c r="E15" s="4" t="n">
        <v>87</v>
      </c>
      <c r="F15" s="4" t="n">
        <v>0</v>
      </c>
      <c r="G15" s="4" t="n">
        <v>80</v>
      </c>
      <c r="H15" s="4" t="inlineStr">
        <is>
          <t>LIKELY</t>
        </is>
      </c>
      <c r="I15" s="4" t="inlineStr"/>
      <c r="J15" s="4" t="inlineStr">
        <is>
          <t>skipped_not_certain</t>
        </is>
      </c>
      <c r="K15" s="4" t="inlineStr"/>
      <c r="L15" s="4" t="inlineStr"/>
      <c r="M15" s="4" t="inlineStr"/>
      <c r="N15" s="4" t="inlineStr"/>
      <c r="O15" s="4" t="inlineStr"/>
      <c r="P15" s="4" t="n">
        <v>43.16</v>
      </c>
      <c r="Q15" s="4" t="inlineStr">
        <is>
          <t>2027-02-01</t>
        </is>
      </c>
      <c r="R15" s="4" t="inlineStr"/>
      <c r="S15" s="4" t="n">
        <v>2290</v>
      </c>
      <c r="T15" s="4" t="inlineStr"/>
      <c r="U15" s="4" t="inlineStr"/>
      <c r="V15" s="4" t="inlineStr"/>
      <c r="W15" s="4" t="inlineStr">
        <is>
          <t>Musk donated $10M to Nate Morris' Kentucky Senate run — the largest single Senate campaign donation — and has resumed funding GOP campaigns after initially saying he would pull back</t>
        </is>
      </c>
      <c r="X15" s="4" t="inlineStr">
        <is>
          <t>Moderate — Kalshi must determine which candidates Musk 'supports' (tweets? donations? PAC endorsement?) and which qualify as 'non-incumbents'. Special elections between Jun 2025 and election day also count, adding complexity.</t>
        </is>
      </c>
      <c r="Y15" s="4" t="inlineStr">
        <is>
          <t>If Musk-backed challengers start winning competitive primaries in large numbers through mid-2026, or if a broad Republican wave materializes that carries many challengers into office</t>
        </is>
      </c>
      <c r="Z15" s="4" t="inlineStr">
        <is>
          <t>As of Jan 2026, Musk publicly committed to funding Republicans for the midterms. He donated $10M to Nate Morris (KY-Sen) in Jan 2026. Silver Bulletin updated Musk favorability tracking on June 9, 2026. Primary season is underway but general election outcomes remain highly uncertain with ~5 months until the election.</t>
        </is>
      </c>
      <c r="AA15" s="4" t="inlineStr">
        <is>
          <t>skipped_not_certain</t>
        </is>
      </c>
      <c r="AB15" s="4" t="inlineStr">
        <is>
          <t>deep_spread_scan</t>
        </is>
      </c>
      <c r="AC15" s="4" t="inlineStr">
        <is>
          <t>2026-06-17</t>
        </is>
      </c>
    </row>
    <row r="16" ht="45" customHeight="1">
      <c r="A16" s="4">
        <f>HYPERLINK("https://kalshi.com/markets/kxakmov","KXAKMOV-AKSENATE26NOV03-MPEL-P4")</f>
        <v/>
      </c>
      <c r="B16" s="4" t="inlineStr">
        <is>
          <t>Will the margin of victory for Mary Peltola in the 2026 Alaska Senate election be between 3% and 6%?</t>
        </is>
      </c>
      <c r="C16" s="4" t="inlineStr">
        <is>
          <t>Elections</t>
        </is>
      </c>
      <c r="D16" s="4" t="inlineStr">
        <is>
          <t>NO</t>
        </is>
      </c>
      <c r="E16" s="4" t="n">
        <v>85</v>
      </c>
      <c r="F16" s="4" t="n">
        <v>0</v>
      </c>
      <c r="G16" s="4" t="n">
        <v>74</v>
      </c>
      <c r="H16" s="4" t="inlineStr">
        <is>
          <t>LIKELY</t>
        </is>
      </c>
      <c r="I16" s="4" t="inlineStr"/>
      <c r="J16" s="4" t="inlineStr">
        <is>
          <t>skipped_not_certain</t>
        </is>
      </c>
      <c r="K16" s="4" t="inlineStr"/>
      <c r="L16" s="4" t="inlineStr"/>
      <c r="M16" s="4" t="inlineStr"/>
      <c r="N16" s="4" t="inlineStr"/>
      <c r="O16" s="4" t="inlineStr"/>
      <c r="P16" s="4" t="n">
        <v>42.43</v>
      </c>
      <c r="Q16" s="4" t="inlineStr">
        <is>
          <t>2027-06-02</t>
        </is>
      </c>
      <c r="R16" s="4" t="inlineStr"/>
      <c r="S16" s="4" t="n">
        <v>2417</v>
      </c>
      <c r="T16" s="4" t="inlineStr"/>
      <c r="U16" s="4" t="inlineStr"/>
      <c r="V16" s="4" t="inlineStr"/>
      <c r="W16" s="4" t="inlineStr">
        <is>
          <t>Peltola raised $8.9M in Q1 2026 vs Sullivan's $2.1M — a 4x fundraising advantage that could boost her margin beyond typical partisan expectations | Early Alaska Survey Research poll (April 2026) showed Peltola leading Sullivan 49.1% to 42.5%, a 6.6% lead that could translate to a 3-6% margin after RCV tabulation</t>
        </is>
      </c>
      <c r="X16" s="4" t="inlineStr">
        <is>
          <t>Margin is calculated from the final RCV round, which can produce different margins than first-round tabulation. If the RCV repeal ballot measure passes, the margin calculation methodology may change to first-past-the-post. The Kalshi rules explicitly define the margin calculation, so settlement disputes are unlikely but possible if RCV rules change mid-cycle.</t>
        </is>
      </c>
      <c r="Y16" s="4" t="inlineStr">
        <is>
          <t>If consistent polling through summer 2026 shows Peltola winning by 4-5% in the RCV final round, the YES case would strengthen. Conversely, if Sullivan builds a consistent lead or Peltola leads by over 6%, NO becomes more certain. The RCV repeal ballot measure could also change margin calculation methodology.</t>
        </is>
      </c>
      <c r="Z16" s="4" t="inlineStr">
        <is>
          <t>Peltola leads in the only public poll (ASR, April 2026: 49.1%-42.5%). She raised $8.9M in Q1 2026, 4x Sullivan's $2.1M. The top-4 primary is August 18, 2026. A concurrent ballot measure could repeal RCV, potentially changing how the margin is calculated. Both candidates align on resource development, limiting policy differentiation. Polymarket gives Peltola 63% to win the seat.</t>
        </is>
      </c>
      <c r="AA16" s="4" t="inlineStr">
        <is>
          <t>skipped_not_certain</t>
        </is>
      </c>
      <c r="AB16" s="4" t="inlineStr">
        <is>
          <t>deep_spread_scan</t>
        </is>
      </c>
      <c r="AC16" s="4" t="inlineStr">
        <is>
          <t>2026-06-17</t>
        </is>
      </c>
    </row>
    <row r="17" ht="45" customHeight="1">
      <c r="A17" s="4">
        <f>HYPERLINK("https://kalshi.com/markets/kxfedemployees","KXFEDEMPLOYEES-27FEB-250000")</f>
        <v/>
      </c>
      <c r="B17" s="4" t="inlineStr">
        <is>
          <t>Will there be more than 250000 government employees cut before Jan 2027?</t>
        </is>
      </c>
      <c r="C17" s="4" t="inlineStr">
        <is>
          <t>Economics</t>
        </is>
      </c>
      <c r="D17" s="4" t="inlineStr">
        <is>
          <t>NO</t>
        </is>
      </c>
      <c r="E17" s="4" t="n">
        <v>88</v>
      </c>
      <c r="F17" s="4" t="n">
        <v>0</v>
      </c>
      <c r="G17" s="4" t="n">
        <v>78</v>
      </c>
      <c r="H17" s="4" t="inlineStr">
        <is>
          <t>LIKELY</t>
        </is>
      </c>
      <c r="I17" s="4" t="inlineStr"/>
      <c r="J17" s="4" t="inlineStr">
        <is>
          <t>skipped_not_certain</t>
        </is>
      </c>
      <c r="K17" s="4" t="inlineStr"/>
      <c r="L17" s="4" t="inlineStr"/>
      <c r="M17" s="4" t="inlineStr"/>
      <c r="N17" s="4" t="inlineStr"/>
      <c r="O17" s="4" t="inlineStr"/>
      <c r="P17" s="4" t="n">
        <v>41.61</v>
      </c>
      <c r="Q17" s="4" t="inlineStr">
        <is>
          <t>2027-03-04</t>
        </is>
      </c>
      <c r="R17" s="4" t="inlineStr"/>
      <c r="S17" s="4" t="n">
        <v>1037</v>
      </c>
      <c r="T17" s="4" t="inlineStr"/>
      <c r="U17" s="4" t="inlineStr"/>
      <c r="V17" s="4" t="inlineStr"/>
      <c r="W17" s="4" t="inlineStr">
        <is>
          <t>Administration pursuing Schedule Policy/Career reclassification (~50K positions) enabling faster firing with limited appeal rights | Supreme Court may lift injunctions blocking agency RIFs, which could accelerate reduction pace significantly</t>
        </is>
      </c>
      <c r="X17" s="4" t="inlineStr">
        <is>
          <t>Low — OPM workforce data provides clear, authoritative monthly counts for straightforward comparison against the December 2025 baseline</t>
        </is>
      </c>
      <c r="Y17" s="4" t="inlineStr">
        <is>
          <t>Supreme Court ruling to lift RIF injunctions combined with credible multi-agency layoff announcements that would materially accelerate the reduction pace above the current ~15,800/month trend</t>
        </is>
      </c>
      <c r="Z17" s="4" t="inlineStr">
        <is>
          <t>OPM data as of April 2026 reveals workforce reduction of 63,089 in 2026 (FedSmith, May 8). IRS IG report shows 30% workforce cut before partial backfilling began (Fedweek, June 16). HFS sends second-round RIF notices to 78 employees and reclassifying hundreds of positions under Schedule Policy/Career (Federal News Network, May 18). Class-action lawsuit filed against HFS RIF citing 'glaring errors' (Fedweek, June 15). OCC offering Voluntary Transition Program buyouts ahead of planned RIF (FedTools, June 14).</t>
        </is>
      </c>
      <c r="AA17" s="4" t="inlineStr">
        <is>
          <t>skipped_not_certain</t>
        </is>
      </c>
      <c r="AB17" s="4" t="inlineStr">
        <is>
          <t>deep_spread_scan</t>
        </is>
      </c>
      <c r="AC17" s="4" t="inlineStr">
        <is>
          <t>2026-06-17</t>
        </is>
      </c>
    </row>
    <row r="18" ht="45" customHeight="1">
      <c r="A18" s="4">
        <f>HYPERLINK("https://kalshi.com/markets/kxnumshutdowns","KXNUMSHUTDOWNS-27JAN01-T5")</f>
        <v/>
      </c>
      <c r="B18" s="4" t="inlineStr">
        <is>
          <t>Will the number of distinct government shutdowns (as defined in the GOVTSHUTLENGTH contract, with shutdown status checked at 10:00 AM ET each day) be exactly 5 in 2026?</t>
        </is>
      </c>
      <c r="C18" s="4" t="inlineStr">
        <is>
          <t>Politics</t>
        </is>
      </c>
      <c r="D18" s="4" t="inlineStr">
        <is>
          <t>NO</t>
        </is>
      </c>
      <c r="E18" s="4" t="n">
        <v>89</v>
      </c>
      <c r="F18" s="4" t="n">
        <v>0</v>
      </c>
      <c r="G18" s="4" t="n">
        <v>91</v>
      </c>
      <c r="H18" s="4" t="inlineStr">
        <is>
          <t>LIKELY</t>
        </is>
      </c>
      <c r="I18" s="4" t="inlineStr"/>
      <c r="J18" s="4" t="inlineStr">
        <is>
          <t>skipped_not_certain</t>
        </is>
      </c>
      <c r="K18" s="4" t="inlineStr"/>
      <c r="L18" s="4" t="inlineStr"/>
      <c r="M18" s="4" t="inlineStr"/>
      <c r="N18" s="4" t="inlineStr"/>
      <c r="O18" s="4" t="inlineStr"/>
      <c r="P18" s="4" t="n">
        <v>40.06</v>
      </c>
      <c r="Q18" s="4" t="inlineStr">
        <is>
          <t>2027-01-01</t>
        </is>
      </c>
      <c r="R18" s="4" t="inlineStr"/>
      <c r="S18" s="4" t="n">
        <v>366</v>
      </c>
      <c r="T18" s="4" t="inlineStr"/>
      <c r="U18" s="4" t="inlineStr"/>
      <c r="V18" s="4" t="inlineStr"/>
      <c r="W18" s="4" t="inlineStr"/>
      <c r="X18" s="4" t="inlineStr">
        <is>
          <t>The market cross-references the GOVTSHUTLENGTH definition of 'shutdown' (status checked at 10:00 AM ET daily). This is a well-defined, formulaic resolution with low ambiguity.</t>
        </is>
      </c>
      <c r="Y18" s="4" t="inlineStr">
        <is>
          <t>If Congress experiences an extraordinary series of 3+ distinct funding failures before year-end — e.g., a fall FY2027 shutdown, plus multiple short-term CR expirations each triggering distinct shutdowns. This would require an unprecedented breakdown of budget negotiations.</t>
        </is>
      </c>
      <c r="Z18" s="4" t="inlineStr">
        <is>
          <t>The Senate Appropriations Committee is at an impasse on FY2027 top-line numbers (reported June 11). Semafor reported on June 16 that a defense spending impasse raises fall shutdown threat. However, even a fall shutdown would only bring the total to 3 — still far from 5. The June 10 reconciliation bill provided additional DHS funding, reducing the risk of another DHS-specific shutdown.</t>
        </is>
      </c>
      <c r="AA18" s="4" t="inlineStr">
        <is>
          <t>skipped_not_certain</t>
        </is>
      </c>
      <c r="AB18" s="4" t="inlineStr">
        <is>
          <t>deep_spread_scan</t>
        </is>
      </c>
      <c r="AC18" s="4" t="inlineStr">
        <is>
          <t>2026-06-17</t>
        </is>
      </c>
    </row>
    <row r="19" ht="45" customHeight="1">
      <c r="A19" s="4">
        <f>HYPERLINK("https://kalshi.com/markets/kxtokenust","KXTOKENUST-27JAN01-T50")</f>
        <v/>
      </c>
      <c r="B19" s="4" t="inlineStr">
        <is>
          <t>Will Tokenized U.S. Treasuries (Distributed Value) before 2027 be above 50 Billion?</t>
        </is>
      </c>
      <c r="C19" s="4" t="inlineStr">
        <is>
          <t>Economics</t>
        </is>
      </c>
      <c r="D19" s="4" t="inlineStr">
        <is>
          <t>NO</t>
        </is>
      </c>
      <c r="E19" s="4" t="n">
        <v>86</v>
      </c>
      <c r="F19" s="4" t="n">
        <v>0</v>
      </c>
      <c r="G19" s="4" t="n">
        <v>92</v>
      </c>
      <c r="H19" s="4" t="inlineStr">
        <is>
          <t>LIKELY</t>
        </is>
      </c>
      <c r="I19" s="4" t="inlineStr"/>
      <c r="J19" s="4" t="inlineStr">
        <is>
          <t>skipped_not_certain</t>
        </is>
      </c>
      <c r="K19" s="4" t="inlineStr"/>
      <c r="L19" s="4" t="inlineStr"/>
      <c r="M19" s="4" t="inlineStr"/>
      <c r="N19" s="4" t="inlineStr"/>
      <c r="O19" s="4" t="inlineStr"/>
      <c r="P19" s="4" t="n">
        <v>38.93</v>
      </c>
      <c r="Q19" s="4" t="inlineStr">
        <is>
          <t>2027-01-01</t>
        </is>
      </c>
      <c r="R19" s="4" t="inlineStr"/>
      <c r="S19" s="4" t="n">
        <v>330</v>
      </c>
      <c r="T19" s="4" t="inlineStr"/>
      <c r="U19" s="4" t="inlineStr"/>
      <c r="V19" s="4" t="inlineStr"/>
      <c r="W19" s="4" t="inlineStr"/>
      <c r="X19" s="4" t="inlineStr">
        <is>
          <t>The rules reference 'Tokenized U.S. Treasuries (Distributed Value)' which may use a different metric than the AUM/market cap figures commonly cited. If 'Distributed Value' includes cumulative issuance, secondary trading volumes, or notional value rather than just AUM, the threshold could be closer than it appears</t>
        </is>
      </c>
      <c r="Y19" s="4" t="inlineStr">
        <is>
          <t>A major regulatory mandate requiring all government bond holdings to be tokenized, or a massive institutional allocation shift (e.g., pension funds moving billions on-chain), or the 'Distributed Value' metric being defined differently from AUM/market cap (e.g., including notional/notional value of derivatives)</t>
        </is>
      </c>
      <c r="Z19" s="4" t="inlineStr">
        <is>
          <t>Tokenized US Treasury market reached $14B AUM in April 2026 (up from $8.9B Jan 1). Q1 2026 was the strongest quarter on record for tokenized treasuries, adding $2.12B in the first two months. Total RWA tokenization crossed $26.4B in Q1 2026. Institutional adoption is accelerating (BlackRock BUIDL passed $3B AUM, multiple sources).</t>
        </is>
      </c>
      <c r="AA19" s="4" t="inlineStr">
        <is>
          <t>skipped_not_certain</t>
        </is>
      </c>
      <c r="AB19" s="4" t="inlineStr">
        <is>
          <t>deep_spread_scan</t>
        </is>
      </c>
      <c r="AC19" s="4" t="inlineStr">
        <is>
          <t>2026-06-17</t>
        </is>
      </c>
    </row>
    <row r="20" ht="45" customHeight="1">
      <c r="A20" s="4">
        <f>HYPERLINK("https://kalshi.com/markets/kxipoolipop","KXIPOOLIPOP-27JAN01")</f>
        <v/>
      </c>
      <c r="B20" s="4" t="inlineStr">
        <is>
          <t>When will Olipop IPO?</t>
        </is>
      </c>
      <c r="C20" s="4" t="inlineStr">
        <is>
          <t>Economics</t>
        </is>
      </c>
      <c r="D20" s="4" t="inlineStr">
        <is>
          <t>NO</t>
        </is>
      </c>
      <c r="E20" s="4" t="n">
        <v>88</v>
      </c>
      <c r="F20" s="4" t="n">
        <v>0</v>
      </c>
      <c r="G20" s="4" t="n">
        <v>93</v>
      </c>
      <c r="H20" s="4" t="inlineStr">
        <is>
          <t>LIKELY</t>
        </is>
      </c>
      <c r="I20" s="4" t="inlineStr"/>
      <c r="J20" s="4" t="inlineStr">
        <is>
          <t>skipped_not_certain</t>
        </is>
      </c>
      <c r="K20" s="4" t="inlineStr"/>
      <c r="L20" s="4" t="inlineStr"/>
      <c r="M20" s="4" t="inlineStr"/>
      <c r="N20" s="4" t="inlineStr"/>
      <c r="O20" s="4" t="inlineStr"/>
      <c r="P20" s="4" t="n">
        <v>38.44</v>
      </c>
      <c r="Q20" s="4" t="inlineStr">
        <is>
          <t>2027-01-01</t>
        </is>
      </c>
      <c r="R20" s="4" t="inlineStr"/>
      <c r="S20" s="4" t="n">
        <v>200</v>
      </c>
      <c r="T20" s="4" t="inlineStr"/>
      <c r="U20" s="4" t="inlineStr"/>
      <c r="V20" s="4" t="inlineStr"/>
      <c r="W20" s="4" t="inlineStr"/>
      <c r="X20" s="4" t="inlineStr">
        <is>
          <t>The rules are clear: an IPO is confirmed if the SEC declares S-1 effective, the IPO is priced, or an exchange assigns a ticker. A confidential S-1 filing alone would NOT trigger resolution — the SEC must declare it effective. This gives the company time to file confidentially without the market resolving to YES prematurely</t>
        </is>
      </c>
      <c r="Y20" s="4" t="inlineStr">
        <is>
          <t>If Olipop were to file a confidential S-1 with the SEC, announce hiring of IPO underwriters, or if an investment bank leaks that Olipop has begun the IPO process — any of these would materially increase the probability within the 197-day window</t>
        </is>
      </c>
      <c r="Z20" s="4" t="inlineStr">
        <is>
          <t>Olipop launched a brand refresh in May 2026 ('Feel Good Soda' campaign). Secondary market continues trading at ~$36/share on Hiive and Nasdaq Private Market. No IPO news, S-1 filing, or underwriter engagement found. The broader beverage IPO market is quiet — the largest recent consumer IPO was Madison Air Solutions ($2.6B, April 2026), not a beverage company.</t>
        </is>
      </c>
      <c r="AA20" s="4" t="inlineStr">
        <is>
          <t>skipped_not_certain</t>
        </is>
      </c>
      <c r="AB20" s="4" t="inlineStr">
        <is>
          <t>deep_spread_scan</t>
        </is>
      </c>
      <c r="AC20" s="4" t="inlineStr">
        <is>
          <t>2026-06-17</t>
        </is>
      </c>
    </row>
    <row r="21" ht="45" customHeight="1">
      <c r="A21" s="4">
        <f>HYPERLINK("https://kalshi.com/markets/kxaksalmon","KXAKSALMON-26ALL-T100000000")</f>
        <v/>
      </c>
      <c r="B21" s="4" t="inlineStr">
        <is>
          <t>Will Alaska's 2026 commercial all salmon harvest total 100 million fish or above?</t>
        </is>
      </c>
      <c r="C21" s="4" t="inlineStr">
        <is>
          <t>Economics</t>
        </is>
      </c>
      <c r="D21" s="4" t="inlineStr">
        <is>
          <t>YES</t>
        </is>
      </c>
      <c r="E21" s="4" t="n">
        <v>86</v>
      </c>
      <c r="F21" s="4" t="n">
        <v>0</v>
      </c>
      <c r="G21" s="4" t="n">
        <v>88</v>
      </c>
      <c r="H21" s="4" t="inlineStr">
        <is>
          <t>LIKELY</t>
        </is>
      </c>
      <c r="I21" s="4" t="inlineStr"/>
      <c r="J21" s="4" t="inlineStr">
        <is>
          <t>skipped_not_certain</t>
        </is>
      </c>
      <c r="K21" s="4" t="inlineStr"/>
      <c r="L21" s="4" t="inlineStr"/>
      <c r="M21" s="4" t="inlineStr"/>
      <c r="N21" s="4" t="inlineStr"/>
      <c r="O21" s="4" t="inlineStr"/>
      <c r="P21" s="4" t="n">
        <v>38.19</v>
      </c>
      <c r="Q21" s="4" t="inlineStr">
        <is>
          <t>2027-01-14</t>
        </is>
      </c>
      <c r="R21" s="4" t="inlineStr"/>
      <c r="S21" s="4" t="n">
        <v>250</v>
      </c>
      <c r="T21" s="4" t="inlineStr"/>
      <c r="U21" s="4" t="inlineStr"/>
      <c r="V21" s="4" t="inlineStr"/>
      <c r="W21" s="4" t="inlineStr">
        <is>
          <t>Pink salmon are in a cyclical off-year and the 125.5M forecast represents a sharp 36% decline from 2025's 197.4M, illustrating the inherent year-to-year variability of wild salmon harvests</t>
        </is>
      </c>
      <c r="X21" s="4" t="inlineStr">
        <is>
          <t>Kalshi resolves based on ADF&amp;G's official statewide commercial all-salmon harvest count. Well-defined metric from a single authoritative source. Low settlement risk.</t>
        </is>
      </c>
      <c r="Y21" s="4" t="inlineStr">
        <is>
          <t>A major disease outbreak, sustained adverse ocean conditions (e.g. marine heatwave), or regulatory closure that suppresses harvests well below ADF&amp;G forecast levels before the season concludes in late summer/fall 2026.</t>
        </is>
      </c>
      <c r="Z21" s="4" t="inlineStr">
        <is>
          <t>The 2026 Alaska salmon season is underway (started May 22 with Copper River). Early sockeye returns above expectations with Copper River exceeding projections. Bristol Bay season expected June-July. ADF&amp;G's 125.5M forecast remains the official projection and has not been revised downward.</t>
        </is>
      </c>
      <c r="AA21" s="4" t="inlineStr">
        <is>
          <t>skipped_not_certain</t>
        </is>
      </c>
      <c r="AB21" s="4" t="inlineStr">
        <is>
          <t>deep_spread_scan</t>
        </is>
      </c>
      <c r="AC21" s="4" t="inlineStr">
        <is>
          <t>2026-06-17</t>
        </is>
      </c>
    </row>
    <row r="22" ht="45" customHeight="1">
      <c r="A22" s="4">
        <f>HYPERLINK("https://kalshi.com/markets/kxtariffrevenue","KXTARIFFREVENUE-26DEC31-T125")</f>
        <v/>
      </c>
      <c r="B22" s="4" t="inlineStr">
        <is>
          <t>Will US tariff revenue for 2026 be above $125‎ billion?</t>
        </is>
      </c>
      <c r="C22" s="4" t="inlineStr">
        <is>
          <t>Economics</t>
        </is>
      </c>
      <c r="D22" s="4" t="inlineStr">
        <is>
          <t>YES</t>
        </is>
      </c>
      <c r="E22" s="4" t="n">
        <v>87</v>
      </c>
      <c r="F22" s="4" t="n">
        <v>0</v>
      </c>
      <c r="G22" s="4" t="n">
        <v>92</v>
      </c>
      <c r="H22" s="4" t="inlineStr">
        <is>
          <t>LIKELY</t>
        </is>
      </c>
      <c r="I22" s="4" t="inlineStr"/>
      <c r="J22" s="4" t="inlineStr">
        <is>
          <t>skipped_not_certain</t>
        </is>
      </c>
      <c r="K22" s="4" t="inlineStr"/>
      <c r="L22" s="4" t="inlineStr"/>
      <c r="M22" s="4" t="inlineStr"/>
      <c r="N22" s="4" t="inlineStr"/>
      <c r="O22" s="4" t="inlineStr"/>
      <c r="P22" s="4" t="n">
        <v>37.63</v>
      </c>
      <c r="Q22" s="4" t="inlineStr">
        <is>
          <t>2027-06-01</t>
        </is>
      </c>
      <c r="R22" s="4" t="inlineStr"/>
      <c r="S22" s="4" t="n">
        <v>201</v>
      </c>
      <c r="T22" s="4" t="inlineStr"/>
      <c r="U22" s="4" t="inlineStr"/>
      <c r="V22" s="4" t="inlineStr"/>
      <c r="W22" s="4" t="inlineStr">
        <is>
          <t>Supreme Court struck down IEEPA tariffs in a 6-3 decision as of February 20, 2026, reducing the legal basis for some tariff revenue going forward</t>
        </is>
      </c>
      <c r="X22" s="4" t="inlineStr">
        <is>
          <t>Kalshi resolves based on FRED data for US tariff revenue. If the data source definition differs from calendar year customs duty collections, or if data is delayed/revised, the settlement value could differ from current estimates. The exact metric definition ('US tariff revenue for 2026') should be verified against Kalshi's resolution criteria.</t>
        </is>
      </c>
      <c r="Y22" s="4" t="inlineStr">
        <is>
          <t>Widespread repeal or judicial invalidation of all remaining tariff programs (Section 301, Section 232) combined with retroactive refunds, or a severe economic contraction halting import activity for the remainder of 2026</t>
        </is>
      </c>
      <c r="Z22" s="4" t="inlineStr">
        <is>
          <t>Supreme Court struck down IEEPA tariffs on Feb 20, 2026 (6-3 decision), which may reduce some tariff revenue going forward. Despite this, FY2026 collections through April already reached $188.6B, and other tariff programs (Section 301, Section 232) remain intact. Monthly tariff revenue peaked at $31.35B in October 2025 and was $27.89B in December 2025, showing sustained elevated collection levels.</t>
        </is>
      </c>
      <c r="AA22" s="4" t="inlineStr">
        <is>
          <t>skipped_not_certain</t>
        </is>
      </c>
      <c r="AB22" s="4" t="inlineStr">
        <is>
          <t>deep_spread_scan</t>
        </is>
      </c>
      <c r="AC22" s="4" t="inlineStr">
        <is>
          <t>2026-06-17</t>
        </is>
      </c>
    </row>
    <row r="23" ht="45" customHeight="1">
      <c r="A23" s="4">
        <f>HYPERLINK("https://kalshi.com/markets/kxipoolipop","KXIPOOLIPOP-27MAR01")</f>
        <v/>
      </c>
      <c r="B23" s="4" t="inlineStr">
        <is>
          <t>When will Olipop IPO?</t>
        </is>
      </c>
      <c r="C23" s="4" t="inlineStr">
        <is>
          <t>Economics</t>
        </is>
      </c>
      <c r="D23" s="4" t="inlineStr">
        <is>
          <t>NO</t>
        </is>
      </c>
      <c r="E23" s="4" t="n">
        <v>85</v>
      </c>
      <c r="F23" s="4" t="n">
        <v>0</v>
      </c>
      <c r="G23" s="4" t="n">
        <v>85</v>
      </c>
      <c r="H23" s="4" t="inlineStr">
        <is>
          <t>LIKELY</t>
        </is>
      </c>
      <c r="I23" s="4" t="inlineStr"/>
      <c r="J23" s="4" t="inlineStr">
        <is>
          <t>skipped_not_certain</t>
        </is>
      </c>
      <c r="K23" s="4" t="inlineStr"/>
      <c r="L23" s="4" t="inlineStr"/>
      <c r="M23" s="4" t="inlineStr"/>
      <c r="N23" s="4" t="inlineStr"/>
      <c r="O23" s="4" t="inlineStr"/>
      <c r="P23" s="4" t="n">
        <v>37.44</v>
      </c>
      <c r="Q23" s="4" t="inlineStr">
        <is>
          <t>2027-03-01</t>
        </is>
      </c>
      <c r="R23" s="4" t="inlineStr"/>
      <c r="S23" s="4" t="n">
        <v>229</v>
      </c>
      <c r="T23" s="4" t="inlineStr"/>
      <c r="U23" s="4" t="inlineStr"/>
      <c r="V23" s="4" t="inlineStr"/>
      <c r="W23" s="4" t="inlineStr"/>
      <c r="X23" s="4" t="inlineStr">
        <is>
          <t>Low. The rules clearly define IPO confirmation triggers: SEC Form S-1 effective, IPO priced, or exchange ticker assigned. Absent any of these triggers, the market resolves NO.</t>
        </is>
      </c>
      <c r="Y23" s="4" t="inlineStr">
        <is>
          <t>Olipop files an S-1 with the SEC, hires a CFO with public company experience, announces IPO plans, or an underwriter is appointed before March 2027</t>
        </is>
      </c>
      <c r="Z23" s="4" t="inlineStr">
        <is>
          <t>Olipop's most recent public activity is a brand refresh campaign reported in May 2026. There are no reports of S-1 filing, underwriter engagement, or IPO preparation. The company continues to operate as a private brand-focused business.</t>
        </is>
      </c>
      <c r="AA23" s="4" t="inlineStr">
        <is>
          <t>skipped_not_certain</t>
        </is>
      </c>
      <c r="AB23" s="4" t="inlineStr">
        <is>
          <t>deep_spread_scan</t>
        </is>
      </c>
      <c r="AC23" s="4" t="inlineStr">
        <is>
          <t>2026-06-17</t>
        </is>
      </c>
    </row>
    <row r="24" ht="45" customHeight="1">
      <c r="A24" s="4">
        <f>HYPERLINK("https://kalshi.com/markets/kxstripeipo","KXSTRIPEIPO-27JAN01")</f>
        <v/>
      </c>
      <c r="B24" s="4" t="inlineStr">
        <is>
          <t>When will Stripe IPO?</t>
        </is>
      </c>
      <c r="C24" s="4" t="inlineStr">
        <is>
          <t>Economics</t>
        </is>
      </c>
      <c r="D24" s="4" t="inlineStr">
        <is>
          <t>NO</t>
        </is>
      </c>
      <c r="E24" s="4" t="n">
        <v>87</v>
      </c>
      <c r="F24" s="4" t="n">
        <v>0</v>
      </c>
      <c r="G24" s="4" t="n">
        <v>93</v>
      </c>
      <c r="H24" s="4" t="inlineStr">
        <is>
          <t>LIKELY</t>
        </is>
      </c>
      <c r="I24" s="4" t="inlineStr"/>
      <c r="J24" s="4" t="inlineStr">
        <is>
          <t>skipped_not_certain</t>
        </is>
      </c>
      <c r="K24" s="4" t="inlineStr"/>
      <c r="L24" s="4" t="inlineStr"/>
      <c r="M24" s="4" t="inlineStr"/>
      <c r="N24" s="4" t="inlineStr"/>
      <c r="O24" s="4" t="inlineStr"/>
      <c r="P24" s="4" t="n">
        <v>44.18</v>
      </c>
      <c r="Q24" s="4" t="inlineStr">
        <is>
          <t>2027-01-01</t>
        </is>
      </c>
      <c r="R24" s="4" t="inlineStr"/>
      <c r="S24" s="4" t="n">
        <v>3228</v>
      </c>
      <c r="T24" s="4" t="inlineStr"/>
      <c r="U24" s="4" t="inlineStr"/>
      <c r="V24" s="4" t="inlineStr"/>
      <c r="W24" s="4" t="inlineStr"/>
      <c r="X24" s="4" t="inlineStr">
        <is>
          <t>Low. Market resolves objectively based on S-1 effectiveness, IPO pricing, or ticker assignment. Absent any of these triggers, market defaults to NO on January 1, 2027</t>
        </is>
      </c>
      <c r="Y24" s="4" t="inlineStr">
        <is>
          <t>Stripe files an S-1 with the SEC; founders change public stance on IPO timing; major institutional investor demands an exit via IPO; a material change in Stripe's capital needs arises</t>
        </is>
      </c>
      <c r="Z24" s="4" t="inlineStr">
        <is>
          <t>Stripe was valued at $159B in a February 2026 tender offer. Private market valuation rose to ~$175.6B by May 2026. No S-1 has been filed. Both founders continue to state an IPO is not a near-term priority. The tender offer provided employee liquidity, reducing pressure to go public.</t>
        </is>
      </c>
      <c r="AA24" s="4" t="inlineStr">
        <is>
          <t>skipped_not_certain</t>
        </is>
      </c>
      <c r="AB24" s="4" t="inlineStr">
        <is>
          <t>deep_spread_scan</t>
        </is>
      </c>
      <c r="AC24" s="4" t="inlineStr">
        <is>
          <t>2026-06-17</t>
        </is>
      </c>
    </row>
    <row r="25" ht="45" customHeight="1">
      <c r="A25" s="4">
        <f>HYPERLINK("https://kalshi.com/markets/kxfreddie","KXFREDDIE-27JUN01")</f>
        <v/>
      </c>
      <c r="B25" s="4" t="inlineStr">
        <is>
          <t>When will Freddie Mac officially announce an IPO?</t>
        </is>
      </c>
      <c r="C25" s="4" t="inlineStr">
        <is>
          <t>Economics</t>
        </is>
      </c>
      <c r="D25" s="4" t="inlineStr">
        <is>
          <t>NO</t>
        </is>
      </c>
      <c r="E25" s="4" t="n">
        <v>86</v>
      </c>
      <c r="F25" s="4" t="n">
        <v>0</v>
      </c>
      <c r="G25" s="4" t="n">
        <v>82</v>
      </c>
      <c r="H25" s="4" t="inlineStr">
        <is>
          <t>LIKELY</t>
        </is>
      </c>
      <c r="I25" s="4" t="inlineStr"/>
      <c r="J25" s="4" t="inlineStr">
        <is>
          <t>skipped_not_certain</t>
        </is>
      </c>
      <c r="K25" s="4" t="inlineStr"/>
      <c r="L25" s="4" t="inlineStr"/>
      <c r="M25" s="4" t="inlineStr"/>
      <c r="N25" s="4" t="inlineStr"/>
      <c r="O25" s="4" t="inlineStr"/>
      <c r="P25" s="4" t="n">
        <v>43.03</v>
      </c>
      <c r="Q25" s="4" t="inlineStr">
        <is>
          <t>2027-06-01</t>
        </is>
      </c>
      <c r="R25" s="4" t="inlineStr"/>
      <c r="S25" s="4" t="n">
        <v>2767</v>
      </c>
      <c r="T25" s="4" t="inlineStr"/>
      <c r="U25" s="4" t="inlineStr"/>
      <c r="V25" s="4" t="inlineStr"/>
      <c r="W25" s="4" t="inlineStr">
        <is>
          <t>Treasury Secretary Scott Bessent has publicly floated ending GSE conservatorship, and FHFA Director Pulte hinted in March 2026 at progress toward an exit, keeping the possibility alive</t>
        </is>
      </c>
      <c r="X25" s="4" t="inlineStr">
        <is>
          <t>Low — Kalshi rules are clearly defined with three objective triggers (S-1 effective, IPO priced, ticker assigned); Freddie Mac is a major entity whose IPO status would be widely and verifiably reported</t>
        </is>
      </c>
      <c r="Y25" s="4" t="inlineStr">
        <is>
          <t>If FHFA files a Form S-1 with the SEC, if Treasury announces a concrete IPO timeline with a target date before June 2027, or if Congress passes legislation mandating GSE privatization with a specific deadline</t>
        </is>
      </c>
      <c r="Z25" s="4" t="inlineStr">
        <is>
          <t>Trump stated June 5, 2026 that GSE IPO is 'not a rush'; no S-1 filed; FHFA Director Pulte serving dual role as acting DNI; FMCC down 56.8% YTD; Michael Burry predicts no IPO before 2027; Oct 2025 timeline suggesting Q2 2026 has passed without action</t>
        </is>
      </c>
      <c r="AA25" s="4" t="inlineStr">
        <is>
          <t>skipped_not_certain</t>
        </is>
      </c>
      <c r="AB25" s="4" t="inlineStr">
        <is>
          <t>deep_spread_scan</t>
        </is>
      </c>
      <c r="AC25" s="4" t="inlineStr">
        <is>
          <t>2026-06-17</t>
        </is>
      </c>
    </row>
    <row r="26" ht="45" customHeight="1">
      <c r="A26" s="4">
        <f>HYPERLINK("https://kalshi.com/markets/kxfablerestore","KXFABLERESTORE-27-26JUL24")</f>
        <v/>
      </c>
      <c r="B26" s="4" t="inlineStr">
        <is>
          <t>Will it be reported by any of the Source Agencies that general access to Fable 5 is restored for US customers before Jul 24, 2026?</t>
        </is>
      </c>
      <c r="C26" s="4" t="inlineStr">
        <is>
          <t>Politics</t>
        </is>
      </c>
      <c r="D26" s="4" t="inlineStr">
        <is>
          <t>YES</t>
        </is>
      </c>
      <c r="E26" s="4" t="n">
        <v>80</v>
      </c>
      <c r="F26" s="4" t="n">
        <v>0</v>
      </c>
      <c r="G26" s="4" t="n">
        <v>82</v>
      </c>
      <c r="H26" s="4" t="inlineStr">
        <is>
          <t>LIKELY</t>
        </is>
      </c>
      <c r="I26" s="4" t="inlineStr"/>
      <c r="J26" s="4" t="inlineStr">
        <is>
          <t>skipped_not_certain</t>
        </is>
      </c>
      <c r="K26" s="4" t="inlineStr"/>
      <c r="L26" s="4" t="inlineStr"/>
      <c r="M26" s="4" t="inlineStr"/>
      <c r="N26" s="4" t="inlineStr"/>
      <c r="O26" s="4" t="inlineStr"/>
      <c r="P26" s="4" t="n">
        <v>60.41</v>
      </c>
      <c r="Q26" s="4" t="inlineStr">
        <is>
          <t>2026-07-24</t>
        </is>
      </c>
      <c r="R26" s="4" t="inlineStr"/>
      <c r="S26" s="4" t="n">
        <v>818</v>
      </c>
      <c r="T26" s="4" t="inlineStr"/>
      <c r="U26" s="4" t="inlineStr"/>
      <c r="V26" s="4" t="inlineStr"/>
      <c r="W26" s="4" t="inlineStr">
        <is>
          <t>White House talks on June 15, 2026 ended without a deal to lift the Fable 5 export controls; the two sides remain at odds with the administration holding firm on national security concerns | Kalshi prices for nearer-term restoration dates have been declining (July 1 dropped from 68% to 55%, July 10 from 74% to 66%), signaling the market expects negotiations to take longer than initially anticipated</t>
        </is>
      </c>
      <c r="X26" s="4" t="inlineStr">
        <is>
          <t>Settlement depends on reporting from any of 22+ Source Agencies. If restoration occurs but is not reported by a qualifying source before the deadline, the market could technically settle NO despite the real-world outcome. However, given the breadth of approved sources, this risk is low.</t>
        </is>
      </c>
      <c r="Y26" s="4" t="inlineStr">
        <is>
          <t>If the government formally rejects Anthropic's compliance proposals or imposes additional conditions extending beyond July 24; if the identity verification system rollout is delayed past late July; if a new, more serious security vulnerability is discovered; or if the directive escalates into a broader regulatory action</t>
        </is>
      </c>
      <c r="Z26" s="4" t="inlineStr">
        <is>
          <t>As of June 15-17, 2026: White House-Anthropic talks concluded Monday June 15 without a deal, leaving export controls fully in place. Anthropic deployed senior technical staff to Washington for ongoing negotiations. Identity-based access control (proof of US citizenship) is being developed as the primary path to restore US-only access, with July 8 cited as a target for implementation. Prediction market probabilities for near-term dates (July 1 at 55%, July 10 at 66%) have declined, signaling the market is pricing in longer timelines than initially expected. The July 24 contract remains at ~80c, suggesting the market still expects resolution within this window despite the stalled talks. The CSIS has outlined three possible paths: negotiated retraction of the license requirement, legal action, or restoration within the bounds of the directive via identity verification.</t>
        </is>
      </c>
      <c r="AA26" s="4" t="inlineStr">
        <is>
          <t>skipped_not_certain</t>
        </is>
      </c>
      <c r="AB26" s="4" t="inlineStr">
        <is>
          <t>deep_scan</t>
        </is>
      </c>
      <c r="AC26" s="4" t="inlineStr">
        <is>
          <t>2026-06-17</t>
        </is>
      </c>
    </row>
    <row r="27" ht="45" customHeight="1">
      <c r="A27" s="4">
        <f>HYPERLINK("https://kalshi.com/markets/kxfablerestore","KXFABLERESTORE-27-26JUL31")</f>
        <v/>
      </c>
      <c r="B27" s="4" t="inlineStr">
        <is>
          <t>Will it be reported by any of the Source Agencies that general access to Fable 5 is restored for US customers before Jul 31, 2026?</t>
        </is>
      </c>
      <c r="C27" s="4" t="inlineStr">
        <is>
          <t>Politics</t>
        </is>
      </c>
      <c r="D27" s="4" t="inlineStr">
        <is>
          <t>YES</t>
        </is>
      </c>
      <c r="E27" s="4" t="n">
        <v>83</v>
      </c>
      <c r="F27" s="4" t="n">
        <v>0</v>
      </c>
      <c r="G27" s="4" t="n">
        <v>85</v>
      </c>
      <c r="H27" s="4" t="inlineStr">
        <is>
          <t>LIKELY</t>
        </is>
      </c>
      <c r="I27" s="4" t="inlineStr"/>
      <c r="J27" s="4" t="inlineStr">
        <is>
          <t>skipped_not_certain</t>
        </is>
      </c>
      <c r="K27" s="4" t="inlineStr"/>
      <c r="L27" s="4" t="inlineStr"/>
      <c r="M27" s="4" t="inlineStr"/>
      <c r="N27" s="4" t="inlineStr"/>
      <c r="O27" s="4" t="inlineStr"/>
      <c r="P27" s="4" t="n">
        <v>58.43</v>
      </c>
      <c r="Q27" s="4" t="inlineStr">
        <is>
          <t>2026-07-31</t>
        </is>
      </c>
      <c r="R27" s="4" t="inlineStr"/>
      <c r="S27" s="4" t="n">
        <v>967</v>
      </c>
      <c r="T27" s="4" t="inlineStr"/>
      <c r="U27" s="4" t="inlineStr"/>
      <c r="V27" s="4" t="inlineStr"/>
      <c r="W27" s="4" t="inlineStr">
        <is>
          <t>White House talks on June 15, 2026 ended without a deal to lift the Fable 5 export controls; the two sides remain at odds with the administration holding firm on national security concerns | Kalshi prices for nearer-term restoration dates have been declining, signaling the market expects the resolution timeline to extend beyond initial expectations; if this trend continues, it could push into late July uncertainty</t>
        </is>
      </c>
      <c r="X27" s="4" t="inlineStr">
        <is>
          <t>Settlement depends on reporting from any of 22+ Source Agencies. If restoration occurs but is not reported by a qualifying source before the deadline, the market could technically settle NO despite the real-world outcome. Low risk given the breadth of approved sources.</t>
        </is>
      </c>
      <c r="Y27" s="4" t="inlineStr">
        <is>
          <t>If the government imposes additional conditions or escalates the regulatory action; if identity verification system deployment is delayed past late July; if a more serious security vulnerability emerges; or if the broader political context changes (e.g., the ongoing Anthropic lawsuit against the same administration complicates negotiations)</t>
        </is>
      </c>
      <c r="Z27" s="4" t="inlineStr">
        <is>
          <t>As of June 15-17, 2026: White House-Anthropic talks concluded Monday without a deal. Anthropic has deployed senior technical staff to Washington for ongoing negotiations. Identity verification for US citizens is being developed with July 8 as a target. Prediction market probabilities for near-term dates have declined. CSIS analysis identifies three resolution paths: negotiated retraction, legal action, or restoration via identity verification within the existing directive's bounds. The all-other-models-unaffected status and ongoing G7 preparation (both Lutnick and Amodei expected to attend) provide additional diplomatic avenues.</t>
        </is>
      </c>
      <c r="AA27" s="4" t="inlineStr">
        <is>
          <t>skipped_not_certain</t>
        </is>
      </c>
      <c r="AB27" s="4" t="inlineStr">
        <is>
          <t>deep_scan</t>
        </is>
      </c>
      <c r="AC27" s="4" t="inlineStr">
        <is>
          <t>2026-06-17</t>
        </is>
      </c>
    </row>
    <row r="28" ht="45" customHeight="1">
      <c r="A28" s="4">
        <f>HYPERLINK("https://kalshi.com/markets/kxlakeconf","KXLAKECONF-26MAY12-SEP01")</f>
        <v/>
      </c>
      <c r="B28" s="4" t="inlineStr">
        <is>
          <t>Will Kari Lake be confirmed as Ambassador to Jamaica before Sep 1, 2026?</t>
        </is>
      </c>
      <c r="C28" s="4" t="inlineStr">
        <is>
          <t>Politics</t>
        </is>
      </c>
      <c r="D28" s="4" t="inlineStr">
        <is>
          <t>NO</t>
        </is>
      </c>
      <c r="E28" s="4" t="n">
        <v>84</v>
      </c>
      <c r="F28" s="4" t="n">
        <v>0</v>
      </c>
      <c r="G28" s="4" t="n">
        <v>82</v>
      </c>
      <c r="H28" s="4" t="inlineStr">
        <is>
          <t>LIKELY</t>
        </is>
      </c>
      <c r="I28" s="4" t="inlineStr"/>
      <c r="J28" s="4" t="inlineStr">
        <is>
          <t>skipped_not_certain</t>
        </is>
      </c>
      <c r="K28" s="4" t="inlineStr"/>
      <c r="L28" s="4" t="inlineStr"/>
      <c r="M28" s="4" t="inlineStr"/>
      <c r="N28" s="4" t="inlineStr"/>
      <c r="O28" s="4" t="inlineStr"/>
      <c r="P28" s="4" t="n">
        <v>51.22</v>
      </c>
      <c r="Q28" s="4" t="inlineStr">
        <is>
          <t>2026-09-01</t>
        </is>
      </c>
      <c r="R28" s="4" t="inlineStr"/>
      <c r="S28" s="4" t="n">
        <v>2645</v>
      </c>
      <c r="T28" s="4" t="inlineStr"/>
      <c r="U28" s="4" t="inlineStr"/>
      <c r="V28" s="4" t="inlineStr"/>
      <c r="W28" s="4" t="inlineStr">
        <is>
          <t>Senate is controlled by Republicans 53-47, and controversial Trump nominees have been confirmed through party-line votes | Her confirmation hearing is proceeding as scheduled on June 18, indicating at least procedural momentum through the committee</t>
        </is>
      </c>
      <c r="X28" s="4" t="inlineStr">
        <is>
          <t>Market resolves NO if the nomination is withdrawn OR if she is not confirmed by Sep 1. With 75 days remaining, the nomination could languish or be withdrawn. If the hearing produces unexpected bipartisan support, a floor vote could move quickly in a GOP-controlled Senate.</t>
        </is>
      </c>
      <c r="Y28" s="4" t="inlineStr">
        <is>
          <t>A favorable committee vote or public endorsements from key GOP senators (Curtis, Tillis, Murkowski) would significantly increase her confirmation prospects. Conversely, a nomination withdrawal would immediately resolve NO.</t>
        </is>
      </c>
      <c r="Z28" s="4" t="inlineStr">
        <is>
          <t>Lake's confirmation hearing is scheduled for June 18, 2026 before the Senate Foreign Relations Committee. The Trump administration did not appeal the March 2026 ruling that her USAGM leadership was unlawful. Multiple Republican senators have signaled opposition. Jamaica's government has welcomed her nomination, but Senate support appears insufficient.</t>
        </is>
      </c>
      <c r="AA28" s="4" t="inlineStr">
        <is>
          <t>skipped_not_certain</t>
        </is>
      </c>
      <c r="AB28" s="4" t="inlineStr">
        <is>
          <t>deep_scan</t>
        </is>
      </c>
      <c r="AC28" s="4" t="inlineStr">
        <is>
          <t>2026-06-17</t>
        </is>
      </c>
    </row>
    <row r="29" ht="45" customHeight="1">
      <c r="A29" s="4">
        <f>HYPERLINK("https://kalshi.com/markets/kxnetanyahupardon","KXNETANYAHUPARDON-26-NOV01")</f>
        <v/>
      </c>
      <c r="B29" s="4" t="inlineStr">
        <is>
          <t>Will Benjamin Netanyahu be pardoned before Nov 1, 2026?</t>
        </is>
      </c>
      <c r="C29" s="4" t="inlineStr">
        <is>
          <t>Politics</t>
        </is>
      </c>
      <c r="D29" s="4" t="inlineStr">
        <is>
          <t>NO</t>
        </is>
      </c>
      <c r="E29" s="4" t="n">
        <v>80</v>
      </c>
      <c r="F29" s="4" t="n">
        <v>0</v>
      </c>
      <c r="G29" s="4" t="n">
        <v>88</v>
      </c>
      <c r="H29" s="4" t="inlineStr">
        <is>
          <t>LIKELY</t>
        </is>
      </c>
      <c r="I29" s="4" t="inlineStr"/>
      <c r="J29" s="4" t="inlineStr">
        <is>
          <t>skipped_not_certain</t>
        </is>
      </c>
      <c r="K29" s="4" t="inlineStr"/>
      <c r="L29" s="4" t="inlineStr"/>
      <c r="M29" s="4" t="inlineStr"/>
      <c r="N29" s="4" t="inlineStr"/>
      <c r="O29" s="4" t="inlineStr"/>
      <c r="P29" s="4" t="n">
        <v>46.19</v>
      </c>
      <c r="Q29" s="4" t="inlineStr">
        <is>
          <t>2026-11-01</t>
        </is>
      </c>
      <c r="R29" s="4" t="inlineStr"/>
      <c r="S29" s="4" t="n">
        <v>17232</v>
      </c>
      <c r="T29" s="4" t="inlineStr"/>
      <c r="U29" s="4" t="inlineStr"/>
      <c r="V29" s="4" t="inlineStr"/>
      <c r="W29" s="4" t="inlineStr"/>
      <c r="X29" s="4" t="inlineStr">
        <is>
          <t>Kalshi rules define the resolution as receiving a 'pardon, clemency, or substantially equivalent official act of legal forgiveness.' A plea deal that drops or suspends charges could potentially be argued as 'substantially equivalent,' though this is unlikely given Herzog's stated preference for a plea deal as an alternative to (not a form of) pardon</t>
        </is>
      </c>
      <c r="Y29" s="4" t="inlineStr">
        <is>
          <t>Herzog reversing his position and granting a pardon (unlikely given his public stance), successful Trump pressure campaign forcing executive intervention, plea deal negotiations collapsing and Herzog revisiting the pardon as the only alternative, or Netanyahu admitting guilt and re-submitting a pardon request with admission</t>
        </is>
      </c>
      <c r="Z29" s="4" t="inlineStr">
        <is>
          <t>On April 26, 2026, President Herzog decided not to issue a pardon and instead pushed for a plea deal (NYT). Plea deal talks facilitated by Herzog began in early May 2026 between Netanyahu's legal team and state prosecutors (CryptoBriefing). Netanyahu appeared in court for the 86th time in his corruption trial on May 12, 2026. The Israeli judicial office had declined to recommend the pardon in March 2026. Herzog stated at Davos in January 2026 that any pardon decision would be made independently according to Israeli law. As of June 2026, the pardon process remains frozen and the plea deal path is active.</t>
        </is>
      </c>
      <c r="AA29" s="4" t="inlineStr">
        <is>
          <t>skipped_not_certain</t>
        </is>
      </c>
      <c r="AB29" s="4" t="inlineStr">
        <is>
          <t>deep_scan</t>
        </is>
      </c>
      <c r="AC29" s="4" t="inlineStr">
        <is>
          <t>2026-06-17</t>
        </is>
      </c>
    </row>
    <row r="30" ht="45" customHeight="1">
      <c r="A30" s="4">
        <f>HYPERLINK("https://kalshi.com/markets/kxblanchejudiciary","KXBLANCHEJUDICIARY-27-26OCT01")</f>
        <v/>
      </c>
      <c r="B30" s="4" t="inlineStr">
        <is>
          <t>Will it be reported by any of the Source Agencies that the Senate Judiciary Committee reports Todd Blanche's nomination to be U.S. Attorney General to the full Senate before Oct 1, 2026?</t>
        </is>
      </c>
      <c r="C30" s="4" t="inlineStr">
        <is>
          <t>Politics</t>
        </is>
      </c>
      <c r="D30" s="4" t="inlineStr">
        <is>
          <t>YES</t>
        </is>
      </c>
      <c r="E30" s="4" t="n">
        <v>84</v>
      </c>
      <c r="F30" s="4" t="n">
        <v>0</v>
      </c>
      <c r="G30" s="4" t="n">
        <v>90</v>
      </c>
      <c r="H30" s="4" t="inlineStr">
        <is>
          <t>LIKELY</t>
        </is>
      </c>
      <c r="I30" s="4" t="inlineStr"/>
      <c r="J30" s="4" t="inlineStr">
        <is>
          <t>skipped_not_certain</t>
        </is>
      </c>
      <c r="K30" s="4" t="inlineStr"/>
      <c r="L30" s="4" t="inlineStr"/>
      <c r="M30" s="4" t="inlineStr"/>
      <c r="N30" s="4" t="inlineStr"/>
      <c r="O30" s="4" t="inlineStr"/>
      <c r="P30" s="4" t="n">
        <v>46.1</v>
      </c>
      <c r="Q30" s="4" t="inlineStr">
        <is>
          <t>2026-10-01</t>
        </is>
      </c>
      <c r="R30" s="4" t="inlineStr"/>
      <c r="S30" s="4" t="n">
        <v>1936</v>
      </c>
      <c r="T30" s="4" t="inlineStr"/>
      <c r="U30" s="4" t="inlineStr"/>
      <c r="V30" s="4" t="inlineStr"/>
      <c r="W30" s="4" t="inlineStr">
        <is>
          <t>Some Republican senators on the Judiciary Committee (Thom Tillis, John Cornyn) remain undecided about supporting Blanche, citing concerns over the $1.776B Anti-Weaponization Fund; Blanche needs all 12 GOP votes if Democrats are unified in opposition</t>
        </is>
      </c>
      <c r="X30" s="4" t="inlineStr">
        <is>
          <t>The market requires reporting by any of the 'Source Agencies' listed in the rules. If all qualifying sources fail to report the committee vote (even though it occurred), the market could technically resolve NO despite the event happening. However, committee reporting is a public official action and will almost certainly be covered by qualifying sources.</t>
        </is>
      </c>
      <c r="Y30" s="4" t="inlineStr">
        <is>
          <t>Blanche failing to secure a majority committee vote due to unresolved GOP concerns about the Anti-Weaponization Fund, the hearing being delayed past Oct 1 due to procedural obstacles or a national crisis, Blanche withdrawing his nomination, or a unified Democratic opposition combining with at least one GOP defection to block committee reporting</t>
        </is>
      </c>
      <c r="Z30" s="4" t="inlineStr">
        <is>
          <t>On June 16, 2026, Senate Judiciary Chairman Grassley announced Blanche's confirmation hearing is set for July 15-16 (Washington Examiner). The White House formally sent the nomination to the Senate on June 8, 2026 (White House). Grassley met with Blanche on June 15 and confirmed the committee received his paperwork. AP reported on June 16 that GOP Sens. Tillis and Cornyn remain undecided over the Anti-Weaponization Fund issue, though Blanche has stated the fund would not go forward. Blanche was previously confirmed as Deputy AG in March 2025.</t>
        </is>
      </c>
      <c r="AA30" s="4" t="inlineStr">
        <is>
          <t>skipped_not_certain</t>
        </is>
      </c>
      <c r="AB30" s="4" t="inlineStr">
        <is>
          <t>deep_scan</t>
        </is>
      </c>
      <c r="AC30" s="4" t="inlineStr">
        <is>
          <t>2026-06-17</t>
        </is>
      </c>
    </row>
    <row r="31" ht="45" customHeight="1">
      <c r="A31" s="4">
        <f>HYPERLINK("https://kalshi.com/markets/kxnycdeptsafety","KXNYCDEPTSAFETY-27JAN01")</f>
        <v/>
      </c>
      <c r="B31" s="4" t="inlineStr">
        <is>
          <t>Will Mamdani establish a Department of Community Safety before 2027?</t>
        </is>
      </c>
      <c r="C31" s="4" t="inlineStr">
        <is>
          <t>Politics</t>
        </is>
      </c>
      <c r="D31" s="4" t="inlineStr">
        <is>
          <t>NO</t>
        </is>
      </c>
      <c r="E31" s="4" t="n">
        <v>84</v>
      </c>
      <c r="F31" s="4" t="n">
        <v>0</v>
      </c>
      <c r="G31" s="4" t="n">
        <v>88</v>
      </c>
      <c r="H31" s="4" t="inlineStr">
        <is>
          <t>LIKELY</t>
        </is>
      </c>
      <c r="I31" s="4" t="inlineStr"/>
      <c r="J31" s="4" t="inlineStr">
        <is>
          <t>skipped_not_certain</t>
        </is>
      </c>
      <c r="K31" s="4" t="inlineStr"/>
      <c r="L31" s="4" t="inlineStr"/>
      <c r="M31" s="4" t="inlineStr"/>
      <c r="N31" s="4" t="inlineStr"/>
      <c r="O31" s="4" t="inlineStr"/>
      <c r="P31" s="4" t="n">
        <v>45.74</v>
      </c>
      <c r="Q31" s="4" t="inlineStr">
        <is>
          <t>2027-01-01</t>
        </is>
      </c>
      <c r="R31" s="4" t="inlineStr"/>
      <c r="S31" s="4" t="n">
        <v>29644</v>
      </c>
      <c r="T31" s="4" t="inlineStr"/>
      <c r="U31" s="4" t="inlineStr"/>
      <c r="V31" s="4" t="inlineStr"/>
      <c r="W31" s="4" t="inlineStr"/>
      <c r="X31" s="4" t="inlineStr">
        <is>
          <t>If Kalshi interprets the existing Office of Community Safety as satisfying the resolution criterion despite it not being a department established by law, though the rules clearly require a law establishing a 'Department of Community Safety'</t>
        </is>
      </c>
      <c r="Y31" s="4" t="inlineStr">
        <is>
          <t>Introduction and passage of legislation in the NYC City Council creating a Department of Community Safety, or an executive action that renames OCS to meet the legal definition of a department established by law before Jan 1, 2027</t>
        </is>
      </c>
      <c r="Z31" s="4" t="inlineStr">
        <is>
          <t>In June 2026, NYC-DSA publicly rebuked Mamdani over increasing NYPD headcount and called for accelerating a full Department of Community Safety, while Mamdani reiterated end-of-first-term (2029) plans. The OCS remains an office, not a department, and no legislative action has commenced.</t>
        </is>
      </c>
      <c r="AA31" s="4" t="inlineStr">
        <is>
          <t>skipped_not_certain</t>
        </is>
      </c>
      <c r="AB31" s="4" t="inlineStr">
        <is>
          <t>deep_scan</t>
        </is>
      </c>
      <c r="AC31" s="4" t="inlineStr">
        <is>
          <t>2026-06-17</t>
        </is>
      </c>
    </row>
    <row r="32" ht="45" customHeight="1">
      <c r="A32" s="5">
        <f>HYPERLINK("https://kalshi.com/markets/kxu3max","KXU3MAX-27-5")</f>
        <v/>
      </c>
      <c r="B32" s="5" t="inlineStr">
        <is>
          <t>How high will unemployment get before 2027?</t>
        </is>
      </c>
      <c r="C32" s="5" t="inlineStr">
        <is>
          <t>Economics</t>
        </is>
      </c>
      <c r="D32" s="5" t="inlineStr">
        <is>
          <t>NO</t>
        </is>
      </c>
      <c r="E32" s="5" t="n">
        <v>84</v>
      </c>
      <c r="F32" s="5" t="n">
        <v>0</v>
      </c>
      <c r="G32" s="5" t="n">
        <v>82</v>
      </c>
      <c r="H32" s="5" t="inlineStr">
        <is>
          <t>LIKELY</t>
        </is>
      </c>
      <c r="I32" s="5" t="inlineStr"/>
      <c r="J32" s="5" t="inlineStr">
        <is>
          <t>skipped_not_certain</t>
        </is>
      </c>
      <c r="K32" s="5" t="inlineStr"/>
      <c r="L32" s="5" t="inlineStr"/>
      <c r="M32" s="5" t="inlineStr"/>
      <c r="N32" s="5" t="inlineStr"/>
      <c r="O32" s="5" t="inlineStr"/>
      <c r="P32" s="5" t="n">
        <v>45.66</v>
      </c>
      <c r="Q32" s="5" t="inlineStr">
        <is>
          <t>2027-01-08</t>
        </is>
      </c>
      <c r="R32" s="5" t="inlineStr"/>
      <c r="S32" s="5" t="n">
        <v>311492</v>
      </c>
      <c r="T32" s="5" t="inlineStr">
        <is>
          <t>YES @10c | ~$31,149 implied (311,492 contracts)</t>
        </is>
      </c>
      <c r="U32" s="5" t="inlineStr"/>
      <c r="V32" s="5" t="inlineStr"/>
      <c r="W32" s="5" t="inlineStr">
        <is>
          <t>Anomalous ~$31K implied on YES side at 10c (311,492 contracts total volume) with no clear public rationale — this concentration of longshot capital suggests informed money sees a path to YES | RSQE notes oil price spike risk in H2 2026 that could pressure the economy beyond their central forecast of 4.5% unemployment</t>
        </is>
      </c>
      <c r="X32" s="5" t="inlineStr">
        <is>
          <t>U-3 is a standard BLS metric with clear definition and established Kalshi settlement procedures; low settlement ambiguity risk</t>
        </is>
      </c>
      <c r="Y32" s="5" t="inlineStr">
        <is>
          <t>A recession, significant trade disruption from tariffs, or a major economic shock pushing U-3 unemployment above 5% before Jan 2027; deterioration in upcoming monthly labor market data</t>
        </is>
      </c>
      <c r="Z32" s="5" t="inlineStr">
        <is>
          <t>U-3 unemployment held at 4.3% in May 2026 (released June 5). CBO and RSQE forecasts through June 2026 project steady unemployment around 4.4-4.5%, with no forecaster predicting a breach of 5%. An oil price spike from tariff/trade disruptions is the primary identified risk.</t>
        </is>
      </c>
      <c r="AA32" s="5" t="inlineStr">
        <is>
          <t>skipped_not_certain</t>
        </is>
      </c>
      <c r="AB32" s="5" t="inlineStr">
        <is>
          <t>deep_scan</t>
        </is>
      </c>
      <c r="AC32" s="5" t="inlineStr">
        <is>
          <t>2026-06-17</t>
        </is>
      </c>
    </row>
    <row r="33" ht="45" customHeight="1">
      <c r="A33" s="5">
        <f>HYPERLINK("https://kalshi.com/markets/kxdsenateseats","KXDSENATESEATS-27-51")</f>
        <v/>
      </c>
      <c r="B33" s="5" t="inlineStr">
        <is>
          <t>Will the Democratic Party hold 51 seats in the 120th Congress?</t>
        </is>
      </c>
      <c r="C33" s="5" t="inlineStr">
        <is>
          <t>Elections</t>
        </is>
      </c>
      <c r="D33" s="5" t="inlineStr">
        <is>
          <t>NO</t>
        </is>
      </c>
      <c r="E33" s="5" t="n">
        <v>84</v>
      </c>
      <c r="F33" s="5" t="n">
        <v>0</v>
      </c>
      <c r="G33" s="5" t="n">
        <v>82</v>
      </c>
      <c r="H33" s="5" t="inlineStr">
        <is>
          <t>LIKELY</t>
        </is>
      </c>
      <c r="I33" s="5" t="inlineStr"/>
      <c r="J33" s="5" t="inlineStr">
        <is>
          <t>skipped_not_certain</t>
        </is>
      </c>
      <c r="K33" s="5" t="inlineStr"/>
      <c r="L33" s="5" t="inlineStr"/>
      <c r="M33" s="5" t="inlineStr"/>
      <c r="N33" s="5" t="inlineStr"/>
      <c r="O33" s="5" t="inlineStr"/>
      <c r="P33" s="5" t="n">
        <v>45.46</v>
      </c>
      <c r="Q33" s="5" t="inlineStr">
        <is>
          <t>2027-02-01</t>
        </is>
      </c>
      <c r="R33" s="5" t="inlineStr"/>
      <c r="S33" s="5" t="n">
        <v>129632</v>
      </c>
      <c r="T33" s="5" t="inlineStr">
        <is>
          <t>YES @15c | ~$19,444 implied (129,632 contracts)</t>
        </is>
      </c>
      <c r="U33" s="5" t="inlineStr"/>
      <c r="V33" s="5" t="inlineStr"/>
      <c r="W33" s="5" t="inlineStr">
        <is>
          <t>Volume anomaly: $19,444 implied on YES side (15c) with 129,632 total contracts traded — a concentrated bet on exactly 51 Democratic seats without a clear public explanation found | Economist model averages ~51.6 Democratic seats; if the distribution is centered near 51-52, exactly 51 could be the modal outcome in a narrow distribution</t>
        </is>
      </c>
      <c r="X33" s="5" t="inlineStr">
        <is>
          <t>Kalshi includes independents who caucus with Democrats (Sanders, King) as Democratic — this is consistent across forecasters. The settlement date is Feb 1, 2027, well after the Jan 3, 2027 convening of the 120th Congress, so any post-election changes (appointments, party switches) before Feb 1 could shift the count</t>
        </is>
      </c>
      <c r="Y33" s="5" t="inlineStr">
        <is>
          <t>A sustained shift in polling toward Democrats across Maine, North Carolina, Ohio, and Alaska that converges forecast averages closer to exactly 51; or new revelations of a major Democratic fundraising/structural advantage making a 51-seat outcome the clear median projection</t>
        </is>
      </c>
      <c r="Z33" s="5" t="inlineStr">
        <is>
          <t>June 11, 2026: Sabato's Crystal Ball shifted NC to Lean D (Roy Cooper favored), and OH/AK from Lean R to Toss-up, expanding the Democratic path. June 17, 2026: GA GOP runoff won by Trump-backed Mike Collins — sets up competitive Ossoff vs Collins race. OK GOP primary won by Kevin Hern (safe R seat). AL GOP/Dem runoffs concluded. These primary results solidify the general election map, narrowing the range of uncertainty</t>
        </is>
      </c>
      <c r="AA33" s="5" t="inlineStr">
        <is>
          <t>skipped_not_certain</t>
        </is>
      </c>
      <c r="AB33" s="5" t="inlineStr">
        <is>
          <t>deep_scan</t>
        </is>
      </c>
      <c r="AC33" s="5" t="inlineStr">
        <is>
          <t>2026-06-17</t>
        </is>
      </c>
    </row>
    <row r="34" ht="45" customHeight="1">
      <c r="A34" s="4">
        <f>HYPERLINK("https://kalshi.com/markets/kxgdpyear","KXGDPYEAR-26-B1.3")</f>
        <v/>
      </c>
      <c r="B34" s="4" t="inlineStr">
        <is>
          <t>GDP growth in 2026?</t>
        </is>
      </c>
      <c r="C34" s="4" t="inlineStr">
        <is>
          <t>Economics</t>
        </is>
      </c>
      <c r="D34" s="4" t="inlineStr">
        <is>
          <t>NO</t>
        </is>
      </c>
      <c r="E34" s="4" t="n">
        <v>84</v>
      </c>
      <c r="F34" s="4" t="n">
        <v>0</v>
      </c>
      <c r="G34" s="4" t="n">
        <v>84</v>
      </c>
      <c r="H34" s="4" t="inlineStr">
        <is>
          <t>LIKELY</t>
        </is>
      </c>
      <c r="I34" s="4" t="inlineStr"/>
      <c r="J34" s="4" t="inlineStr">
        <is>
          <t>skipped_not_certain</t>
        </is>
      </c>
      <c r="K34" s="4" t="inlineStr"/>
      <c r="L34" s="4" t="inlineStr"/>
      <c r="M34" s="4" t="inlineStr"/>
      <c r="N34" s="4" t="inlineStr"/>
      <c r="O34" s="4" t="inlineStr"/>
      <c r="P34" s="4" t="n">
        <v>45.34</v>
      </c>
      <c r="Q34" s="4" t="inlineStr">
        <is>
          <t>2027-02-28</t>
        </is>
      </c>
      <c r="R34" s="4" t="inlineStr"/>
      <c r="S34" s="4" t="n">
        <v>11687</v>
      </c>
      <c r="T34" s="4" t="inlineStr"/>
      <c r="U34" s="4" t="inlineStr"/>
      <c r="V34" s="4" t="inlineStr"/>
      <c r="W34" s="4" t="inlineStr">
        <is>
          <t>BEA revised Q1 2026 GDP from 2.0% (advance) down to 1.6% (second estimate) SAAR, suggesting economic momentum may be softer than initially reported; Capital Spectator nowcasts Q2 at 1.6% SAAR | RSM estimates 30% recession probability over next 12 months; Iran conflict ceasefire could break down, energy prices could spike again, and the Fed may hike rates given persistent inflation (PCE at 4.5%) | US Bank June 2026 outlook warns of 'rising fragility' as real income shrinks and household buffers thin; maintains 30% recession probability with risk of sustained energy prices above $130/bbl</t>
        </is>
      </c>
      <c r="X34" s="4" t="inlineStr">
        <is>
          <t>The settlement uses the BEA's first-published annual percent change in real GDP for 2026 (advance estimate of Q4 2026, expected early 2027). This is the calendar-year-over-calendar-year growth rate, not quarterly SAAR figures. All cited forecasts use annual-average metrics consistent with this methodology. No known settlement ambiguity</t>
        </is>
      </c>
      <c r="Y34" s="4" t="inlineStr">
        <is>
          <t>A sustained escalation of the Iran conflict causing prolonged energy prices above $130/bbl, a severe consumer spending contraction due to persistent inflation above 4%, or a financial crisis that triggers recession; any of these could push annual GDP growth below 1.5%</t>
        </is>
      </c>
      <c r="Z34" s="4" t="inlineStr">
        <is>
          <t>June 2026: KPMG upgraded GDP forecast to 2.2% citing FIFA World Cup tourism and AI infrastructure investment. US Bank maintained 2.0% annual average forecast with 30% recession probability. BEA Q1 second estimate revised down to 1.6% SAAR (vs 2.0% advance). Iran ceasefire holding reduces energy tail risk. Fed confirmed Kevin Warsh as chair; inflation at 4.5% PCE keeps Fed on hold with rate hike risks. Capital Spectator nowcasts Q2 at 1.6% SAAR — slowing but not collapsing</t>
        </is>
      </c>
      <c r="AA34" s="4" t="inlineStr">
        <is>
          <t>skipped_not_certain</t>
        </is>
      </c>
      <c r="AB34" s="4" t="inlineStr">
        <is>
          <t>deep_scan</t>
        </is>
      </c>
      <c r="AC34" s="4" t="inlineStr">
        <is>
          <t>2026-06-17</t>
        </is>
      </c>
    </row>
    <row r="35" ht="45" customHeight="1">
      <c r="A35" s="5">
        <f>HYPERLINK("https://kalshi.com/markets/kxdsenateseats","KXDSENATESEATS-27-50")</f>
        <v/>
      </c>
      <c r="B35" s="5" t="inlineStr">
        <is>
          <t>Will the Democratic Party hold 50 seats in the 120th Congress?</t>
        </is>
      </c>
      <c r="C35" s="5" t="inlineStr">
        <is>
          <t>Elections</t>
        </is>
      </c>
      <c r="D35" s="5" t="inlineStr">
        <is>
          <t>NO</t>
        </is>
      </c>
      <c r="E35" s="5" t="n">
        <v>83</v>
      </c>
      <c r="F35" s="5" t="n">
        <v>0</v>
      </c>
      <c r="G35" s="5" t="n">
        <v>73</v>
      </c>
      <c r="H35" s="5" t="inlineStr">
        <is>
          <t>LIKELY</t>
        </is>
      </c>
      <c r="I35" s="5" t="inlineStr"/>
      <c r="J35" s="5" t="inlineStr">
        <is>
          <t>skipped_not_certain</t>
        </is>
      </c>
      <c r="K35" s="5" t="inlineStr"/>
      <c r="L35" s="5" t="inlineStr"/>
      <c r="M35" s="5" t="inlineStr"/>
      <c r="N35" s="5" t="inlineStr"/>
      <c r="O35" s="5" t="inlineStr"/>
      <c r="P35" s="5" t="n">
        <v>45.16</v>
      </c>
      <c r="Q35" s="5" t="inlineStr">
        <is>
          <t>2027-02-01</t>
        </is>
      </c>
      <c r="R35" s="5" t="inlineStr"/>
      <c r="S35" s="5" t="n">
        <v>81592</v>
      </c>
      <c r="T35" s="5" t="inlineStr">
        <is>
          <t>YES @16c | ~$13,054 implied (81,592 contracts)</t>
        </is>
      </c>
      <c r="U35" s="5" t="inlineStr"/>
      <c r="V35" s="5" t="inlineStr"/>
      <c r="W35" s="5" t="inlineStr">
        <is>
          <t>The Economist and 270toWin consensus both project a median outcome of 50-50 Senate, meaning the single most likely Democratic seat count is exactly 50 | $13,054 implied volume on YES side (16c) without obvious hedging rationale suggests some informed traders believe the market undervalues the exactly-50 outcome</t>
        </is>
      </c>
      <c r="X35" s="5" t="inlineStr">
        <is>
          <t>Settlement depends on which independents caucus with Democrats post-election; Bernie Sanders (I-VT) and Angus King (I-ME) historically caucus with Dems but future caucus decisions could shift the count</t>
        </is>
      </c>
      <c r="Y35" s="5" t="inlineStr">
        <is>
          <t>A clear shift in forecast consensus away from the 50-50 median toward a definitive GOP or Democratic advantage outside the 2-4 seat net gain range, or conversely, all major forecasters converging on exactly 50</t>
        </is>
      </c>
      <c r="Z35" s="5" t="inlineStr">
        <is>
          <t>June 11, 2026: 270toWin updated consensus moves North Carolina from Toss-up to Lean Democrat after June primaries. Cook Political Report (June 2026) shows 8 competitive seats with generic ballot D+7. Polymarket shows 57% Republicans keep Senate, 28% GOP ≤47 seats (Dems ≥53). Wide distribution of predicted outcomes persists without convergence toward any exact number.</t>
        </is>
      </c>
      <c r="AA35" s="5" t="inlineStr">
        <is>
          <t>skipped_not_certain</t>
        </is>
      </c>
      <c r="AB35" s="5" t="inlineStr">
        <is>
          <t>deep_scan</t>
        </is>
      </c>
      <c r="AC35" s="5" t="inlineStr">
        <is>
          <t>2026-06-17</t>
        </is>
      </c>
    </row>
    <row r="36" ht="45" customHeight="1">
      <c r="A36" s="6">
        <f>HYPERLINK("https://kalshi.com/markets/kxinsurrection","KXINSURRECTION-29-27")</f>
        <v/>
      </c>
      <c r="B36" s="6" t="inlineStr">
        <is>
          <t>Will Trump invoke the Insurrection Act during his Presidency?</t>
        </is>
      </c>
      <c r="C36" s="6" t="inlineStr">
        <is>
          <t>Politics</t>
        </is>
      </c>
      <c r="D36" s="6" t="inlineStr">
        <is>
          <t>NO</t>
        </is>
      </c>
      <c r="E36" s="6" t="n">
        <v>82</v>
      </c>
      <c r="F36" s="6" t="n">
        <v>0</v>
      </c>
      <c r="G36" s="6" t="n">
        <v>50</v>
      </c>
      <c r="H36" s="6" t="inlineStr">
        <is>
          <t>UNCLEAR</t>
        </is>
      </c>
      <c r="I36" s="6" t="inlineStr"/>
      <c r="J36" s="6" t="inlineStr">
        <is>
          <t>skipped_not_certain</t>
        </is>
      </c>
      <c r="K36" s="6" t="inlineStr"/>
      <c r="L36" s="6" t="inlineStr"/>
      <c r="M36" s="6" t="inlineStr"/>
      <c r="N36" s="6" t="inlineStr"/>
      <c r="O36" s="6" t="inlineStr"/>
      <c r="P36" s="6" t="n">
        <v>45.14</v>
      </c>
      <c r="Q36" s="6" t="inlineStr">
        <is>
          <t>2027-01-01</t>
        </is>
      </c>
      <c r="R36" s="6" t="inlineStr"/>
      <c r="S36" s="6" t="n">
        <v>271303</v>
      </c>
      <c r="T36" s="6" t="inlineStr">
        <is>
          <t>YES @17c | ~$46,121 implied (271,303 contracts)</t>
        </is>
      </c>
      <c r="U36" s="6" t="inlineStr"/>
      <c r="V36" s="6" t="inlineStr"/>
      <c r="W36" s="6" t="inlineStr">
        <is>
          <t>NYT (Haberman/Swan, June 15, 2026) reports JD Vance pushed Trump to invoke the Insurrection Act to 'crush unrest in Minnesota' in January 2026, and WH officials debated it seriously — the administration is actively considering invocation at the highest levels | Homeland Security Newswire (June 16, 2026) warns that with midterms approaching and potential Republican losses, Trump may reach for the Insurrection Act to prevent election interference claims | $46,121 implied volume on YES (17c) represents substantial conviction that follows no obvious hedging pattern — this is a genuine smart-money signal that the market may be underpricing invocation risk</t>
        </is>
      </c>
      <c r="X36" s="6" t="inlineStr">
        <is>
          <t>Kalshi must determine what constitutes 'invoked' — a formal presidential proclamation under 10 U.S.C. § 334 is clear, but troops deployed under other statutory authority (e.g., Title 32 National Guard) without explicit Insurrection Act invocation could create settlement ambiguity</t>
        </is>
      </c>
      <c r="Y36" s="6" t="inlineStr">
        <is>
          <t>A formal presidential proclamation invoking the Insurrection Act (would confirm YES), or a public statement from Trump explicitly ruling it out with a binding commitment (would strengthen NO)</t>
        </is>
      </c>
      <c r="Z36" s="6" t="inlineStr">
        <is>
          <t>June 15-16, 2026: NYT reveals White House internally debated invoking the Insurrection Act — Vance pushed for it, WH counsel Will Scharf blocked it, citing the Act is for armed rebellions not protests. June 16, 2026: Homeland Security Newswire warns midterms increase invocation risk. January 2026: Trump threatened invocation after ICE killed Renee Good and Alex Pretti in Minneapolis protests; troops deployed under other authority but Insurrection Act not invoked. Previous pattern: threat → internal debate → no invocation, but the June 2026 revelations show it remains under active consideration.</t>
        </is>
      </c>
      <c r="AA36" s="6" t="inlineStr">
        <is>
          <t>skipped_not_certain</t>
        </is>
      </c>
      <c r="AB36" s="6" t="inlineStr">
        <is>
          <t>deep_scan</t>
        </is>
      </c>
      <c r="AC36" s="6" t="inlineStr">
        <is>
          <t>2026-06-17</t>
        </is>
      </c>
    </row>
    <row r="37" ht="45" customHeight="1">
      <c r="A37" s="4">
        <f>HYPERLINK("https://kalshi.com/markets/kxnycchildcare","KXNYCCHILDCARE-27JAN01")</f>
        <v/>
      </c>
      <c r="B37" s="4" t="inlineStr">
        <is>
          <t>Will Mamdani establish universal child care before 2027?</t>
        </is>
      </c>
      <c r="C37" s="4" t="inlineStr">
        <is>
          <t>Politics</t>
        </is>
      </c>
      <c r="D37" s="4" t="inlineStr">
        <is>
          <t>NO</t>
        </is>
      </c>
      <c r="E37" s="4" t="n">
        <v>82</v>
      </c>
      <c r="F37" s="4" t="n">
        <v>0</v>
      </c>
      <c r="G37" s="4" t="n">
        <v>72</v>
      </c>
      <c r="H37" s="4" t="inlineStr">
        <is>
          <t>LIKELY</t>
        </is>
      </c>
      <c r="I37" s="4" t="inlineStr"/>
      <c r="J37" s="4" t="inlineStr">
        <is>
          <t>skipped_not_certain</t>
        </is>
      </c>
      <c r="K37" s="4" t="inlineStr"/>
      <c r="L37" s="4" t="inlineStr"/>
      <c r="M37" s="4" t="inlineStr"/>
      <c r="N37" s="4" t="inlineStr"/>
      <c r="O37" s="4" t="inlineStr"/>
      <c r="P37" s="4" t="n">
        <v>45.14</v>
      </c>
      <c r="Q37" s="4" t="inlineStr">
        <is>
          <t>2027-01-01</t>
        </is>
      </c>
      <c r="R37" s="4" t="inlineStr"/>
      <c r="S37" s="4" t="n">
        <v>31678</v>
      </c>
      <c r="T37" s="4" t="inlineStr"/>
      <c r="U37" s="4" t="inlineStr"/>
      <c r="V37" s="4" t="inlineStr"/>
      <c r="W37" s="4" t="inlineStr">
        <is>
          <t>Int 0580-2026 has 28 of 51 Council sponsors and could be amended to more directly fund universal child care before Jan 1, 2027</t>
        </is>
      </c>
      <c r="X37" s="4" t="inlineStr">
        <is>
          <t>Kalshi must interpret 'a law establishing and funding a universal child care program' — Int 0580-2026's office-creating + 4-year-mandate approach could be deemed sufficient by Kalshi's settlement team even without direct appropriation language</t>
        </is>
      </c>
      <c r="Y37" s="4" t="inlineStr">
        <is>
          <t>If the NYC Council passes and the mayor signs a bill that directly establishes and funds universal child care (not just an office/framework), or if Int 0580-2026 is amended to include direct appropriations, before Jan 1, 2027</t>
        </is>
      </c>
      <c r="Z37" s="4" t="inlineStr">
        <is>
          <t>Int 0580-2026 remains 'Laid Over in Committee' since Feb 2026 with no advancement; the June 2026 state budget allocated $4.5B for child care including 2-K expansion but no comprehensive NYC law has been introduced or passed</t>
        </is>
      </c>
      <c r="AA37" s="4" t="inlineStr">
        <is>
          <t>skipped_not_certain</t>
        </is>
      </c>
      <c r="AB37" s="4" t="inlineStr">
        <is>
          <t>deep_scan</t>
        </is>
      </c>
      <c r="AC37" s="4" t="inlineStr">
        <is>
          <t>2026-06-17</t>
        </is>
      </c>
    </row>
    <row r="38" ht="45" customHeight="1">
      <c r="A38" s="4">
        <f>HYPERLINK("https://kalshi.com/markets/kxantiweptax","KXANTIWEPTAX-27JAN01")</f>
        <v/>
      </c>
      <c r="B38" s="4" t="inlineStr">
        <is>
          <t>Will any state enact a 100% tax on Anti-Weaponization Fund payouts?</t>
        </is>
      </c>
      <c r="C38" s="4" t="inlineStr">
        <is>
          <t>Politics</t>
        </is>
      </c>
      <c r="D38" s="4" t="inlineStr">
        <is>
          <t>YES</t>
        </is>
      </c>
      <c r="E38" s="4" t="n">
        <v>82</v>
      </c>
      <c r="F38" s="4" t="n">
        <v>0</v>
      </c>
      <c r="G38" s="4" t="n">
        <v>78</v>
      </c>
      <c r="H38" s="4" t="inlineStr">
        <is>
          <t>LIKELY</t>
        </is>
      </c>
      <c r="I38" s="4" t="inlineStr"/>
      <c r="J38" s="4" t="inlineStr">
        <is>
          <t>skipped_not_certain</t>
        </is>
      </c>
      <c r="K38" s="4" t="inlineStr"/>
      <c r="L38" s="4" t="inlineStr"/>
      <c r="M38" s="4" t="inlineStr"/>
      <c r="N38" s="4" t="inlineStr"/>
      <c r="O38" s="4" t="inlineStr"/>
      <c r="P38" s="4" t="n">
        <v>45.14</v>
      </c>
      <c r="Q38" s="4" t="inlineStr">
        <is>
          <t>2027-01-01</t>
        </is>
      </c>
      <c r="R38" s="4" t="inlineStr"/>
      <c r="S38" s="4" t="n">
        <v>13838</v>
      </c>
      <c r="T38" s="4" t="inlineStr"/>
      <c r="U38" s="4" t="inlineStr"/>
      <c r="V38" s="4" t="inlineStr"/>
      <c r="W38" s="4" t="inlineStr">
        <is>
          <t>The final CA budget is still being negotiated between legislature and governor; the AWF tax provision could theoretically be modified or removed before June 29 enactment | No state has yet enacted a 100% AWF tax into law — all proposals remain in introduced/draft stage as of June 17, 2026</t>
        </is>
      </c>
      <c r="X38" s="4" t="inlineStr">
        <is>
          <t>If enacted via budget bill (not standalone legislation), a legal challenge could argue the budget is not 'legislation imposing a state tax' under the resolution rules, but Kalshi rules state enactment occurs regardless of pending challenges</t>
        </is>
      </c>
      <c r="Y38" s="4" t="inlineStr">
        <is>
          <t>If the CA budget is finalized without the 100% AWF tax provision, or if Newsom vetoes the provision and override fails, the YES path weakens significantly though other states' bills remain in play</t>
        </is>
      </c>
      <c r="Z38" s="4" t="inlineStr">
        <is>
          <t>On June 15-16, 2026 the California legislature passed its budget version including the 100% AWF tax; Newsom and legislators have consensus on this provision; final budget negotiations are underway with enactment expected by June 29, 2026</t>
        </is>
      </c>
      <c r="AA38" s="4" t="inlineStr">
        <is>
          <t>skipped_not_certain</t>
        </is>
      </c>
      <c r="AB38" s="4" t="inlineStr">
        <is>
          <t>deep_scan</t>
        </is>
      </c>
      <c r="AC38" s="4" t="inlineStr">
        <is>
          <t>2026-06-17</t>
        </is>
      </c>
    </row>
    <row r="39" ht="45" customHeight="1">
      <c r="A39" s="4">
        <f>HYPERLINK("https://kalshi.com/markets/kxhousewinstate","KXHOUSEWINSTATE-SCD-E2")</f>
        <v/>
      </c>
      <c r="B39" s="4" t="inlineStr">
        <is>
          <t>Will Democrats win exactly 2 seats in the 2026 U.S. House of Representatives elections in South Carolina?</t>
        </is>
      </c>
      <c r="C39" s="4" t="inlineStr">
        <is>
          <t>Elections</t>
        </is>
      </c>
      <c r="D39" s="4" t="inlineStr">
        <is>
          <t>NO</t>
        </is>
      </c>
      <c r="E39" s="4" t="n">
        <v>84</v>
      </c>
      <c r="F39" s="4" t="n">
        <v>0</v>
      </c>
      <c r="G39" s="4" t="n">
        <v>82</v>
      </c>
      <c r="H39" s="4" t="inlineStr">
        <is>
          <t>LIKELY</t>
        </is>
      </c>
      <c r="I39" s="4" t="inlineStr"/>
      <c r="J39" s="4" t="inlineStr">
        <is>
          <t>skipped_not_certain</t>
        </is>
      </c>
      <c r="K39" s="4" t="inlineStr"/>
      <c r="L39" s="4" t="inlineStr"/>
      <c r="M39" s="4" t="inlineStr"/>
      <c r="N39" s="4" t="inlineStr"/>
      <c r="O39" s="4" t="inlineStr"/>
      <c r="P39" s="4" t="n">
        <v>45.01</v>
      </c>
      <c r="Q39" s="4" t="inlineStr">
        <is>
          <t>2027-05-13</t>
        </is>
      </c>
      <c r="R39" s="4" t="inlineStr"/>
      <c r="S39" s="4" t="n">
        <v>9065</v>
      </c>
      <c r="T39" s="4" t="inlineStr"/>
      <c r="U39" s="4" t="inlineStr"/>
      <c r="V39" s="4" t="inlineStr"/>
      <c r="W39" s="4" t="inlineStr">
        <is>
          <t>SC-01 is an open seat (Nancy Mace ran for governor) creating a potential Democratic flip opportunity; Sabato's Crystal Ball rates it R-lean, not safe R</t>
        </is>
      </c>
      <c r="X39" s="4" t="inlineStr">
        <is>
          <t>Kalshi resolves based on official election results declared by electoral authorities. Standard settlement process — no unusual risk beyond normal election contestation timelines.</t>
        </is>
      </c>
      <c r="Y39" s="4" t="inlineStr">
        <is>
          <t>A major Democratic wave in the 2026 midterm combined with strong Democratic candidate performance in SC-01 (the only realistic flip district); or Cook Political Report revising SC-01/SC-07 ratings to competitive (toss-up/lean D)</t>
        </is>
      </c>
      <c r="Z39" s="4" t="inlineStr">
        <is>
          <t>South Carolina primaries held June 9, 2026. SC-01 GOP headed to runoff (Honeycutt vs Smith), Democratic runoff (Lacore vs Deford). SC-05 open seat has no Democratic candidate. Clyburn (D-SC-06) easily renominated. Fry (R-SC-07) unopposed in primary. Cook Political Report (updated June 9) continues to rate all SC districts as non-competitive.</t>
        </is>
      </c>
      <c r="AA39" s="4" t="inlineStr">
        <is>
          <t>skipped_not_certain</t>
        </is>
      </c>
      <c r="AB39" s="4" t="inlineStr">
        <is>
          <t>deep_scan</t>
        </is>
      </c>
      <c r="AC39" s="4" t="inlineStr">
        <is>
          <t>2026-06-17</t>
        </is>
      </c>
    </row>
    <row r="40" ht="45" customHeight="1">
      <c r="A40" s="4">
        <f>HYPERLINK("https://kalshi.com/markets/kxdojpowell","KXDOJPOWELL-27-JAN01")</f>
        <v/>
      </c>
      <c r="B40" s="4" t="inlineStr">
        <is>
          <t>Will it be reported that the DOJ reopens or initiates a criminal investigation into Jerome Powell before Jan 1, 2027?</t>
        </is>
      </c>
      <c r="C40" s="4" t="inlineStr">
        <is>
          <t>Politics</t>
        </is>
      </c>
      <c r="D40" s="4" t="inlineStr">
        <is>
          <t>NO</t>
        </is>
      </c>
      <c r="E40" s="4" t="n">
        <v>82</v>
      </c>
      <c r="F40" s="4" t="n">
        <v>0</v>
      </c>
      <c r="G40" s="4" t="n">
        <v>80</v>
      </c>
      <c r="H40" s="4" t="inlineStr">
        <is>
          <t>LIKELY</t>
        </is>
      </c>
      <c r="I40" s="4" t="inlineStr"/>
      <c r="J40" s="4" t="inlineStr">
        <is>
          <t>skipped_not_certain</t>
        </is>
      </c>
      <c r="K40" s="4" t="inlineStr"/>
      <c r="L40" s="4" t="inlineStr"/>
      <c r="M40" s="4" t="inlineStr"/>
      <c r="N40" s="4" t="inlineStr"/>
      <c r="O40" s="4" t="inlineStr"/>
      <c r="P40" s="4" t="n">
        <v>44.95</v>
      </c>
      <c r="Q40" s="4" t="inlineStr">
        <is>
          <t>2027-01-01</t>
        </is>
      </c>
      <c r="R40" s="4" t="inlineStr"/>
      <c r="S40" s="4" t="n">
        <v>9158</v>
      </c>
      <c r="T40" s="4" t="inlineStr"/>
      <c r="U40" s="4" t="inlineStr"/>
      <c r="V40" s="4" t="inlineStr"/>
      <c r="W40" s="4" t="inlineStr">
        <is>
          <t>US Attorney Pirro explicitly stated she would 'not hesitate to restart a criminal investigation should the facts warrant doing so,' leaving the door legally open</t>
        </is>
      </c>
      <c r="X40" s="4" t="inlineStr">
        <is>
          <t>Market resolves based on reporting from designated Source Agencies (major news outlets). Standard Kalshi settlement with defined source list — no unusual risk.</t>
        </is>
      </c>
      <c r="Y40" s="4" t="inlineStr">
        <is>
          <t>Emergence of significant new evidence of wrongdoing by Powell from the IG investigation; a new DOJ directive under political pressure from the administration; or a public whistleblower complaint triggering DOJ reopening</t>
        </is>
      </c>
      <c r="Z40" s="4" t="inlineStr">
        <is>
          <t>No reports of DOJ reopening the Powell investigation as of June 17, 2026. The Fed IG investigation continues administratively. Kevin Warsh was confirmed as Fed Chair. Polymarket shows 'Powell federally charged by June 30' at 1% — indicating near-zero probability of near-term charges. Condition precedent of Tillis blocking Warsh nomination is resolved.</t>
        </is>
      </c>
      <c r="AA40" s="4" t="inlineStr">
        <is>
          <t>skipped_not_certain</t>
        </is>
      </c>
      <c r="AB40" s="4" t="inlineStr">
        <is>
          <t>deep_scan</t>
        </is>
      </c>
      <c r="AC40" s="4" t="inlineStr">
        <is>
          <t>2026-06-17</t>
        </is>
      </c>
    </row>
    <row r="41" ht="45" customHeight="1">
      <c r="A41" s="4">
        <f>HYPERLINK("https://kalshi.com/markets/rsenateseats","RSENATESEATS-27-E50")</f>
        <v/>
      </c>
      <c r="B41" s="4" t="inlineStr">
        <is>
          <t>Will the Republican party hold exactly 50 Senate seats in the 120th Congress?</t>
        </is>
      </c>
      <c r="C41" s="4" t="inlineStr">
        <is>
          <t>Elections</t>
        </is>
      </c>
      <c r="D41" s="4" t="inlineStr">
        <is>
          <t>NO</t>
        </is>
      </c>
      <c r="E41" s="4" t="n">
        <v>84</v>
      </c>
      <c r="F41" s="4" t="n">
        <v>0</v>
      </c>
      <c r="G41" s="4" t="n">
        <v>70</v>
      </c>
      <c r="H41" s="4" t="inlineStr">
        <is>
          <t>LIKELY</t>
        </is>
      </c>
      <c r="I41" s="4" t="inlineStr"/>
      <c r="J41" s="4" t="inlineStr">
        <is>
          <t>skipped_not_certain</t>
        </is>
      </c>
      <c r="K41" s="4" t="inlineStr"/>
      <c r="L41" s="4" t="inlineStr"/>
      <c r="M41" s="4" t="inlineStr"/>
      <c r="N41" s="4" t="inlineStr"/>
      <c r="O41" s="4" t="inlineStr"/>
      <c r="P41" s="4" t="n">
        <v>44.51</v>
      </c>
      <c r="Q41" s="4" t="inlineStr">
        <is>
          <t>2027-02-01</t>
        </is>
      </c>
      <c r="R41" s="4" t="inlineStr"/>
      <c r="S41" s="4" t="n">
        <v>6447</v>
      </c>
      <c r="T41" s="4" t="inlineStr"/>
      <c r="U41" s="4" t="inlineStr"/>
      <c r="V41" s="4" t="inlineStr"/>
      <c r="W41" s="4" t="inlineStr">
        <is>
          <t>270toWin consensus forecast shows the median projection at 50 Republican seats, meaning 50 is the single most likely specific number | The Economist model's median projection is also a 50-50 split, with Republicans holding a 52% chance of majority control</t>
        </is>
      </c>
      <c r="X41" s="4" t="inlineStr">
        <is>
          <t>Low — standard Kalshi event market resolved by official Senate seat counts certified by the Secretary of the Senate on Feb 1, 2027</t>
        </is>
      </c>
      <c r="Y41" s="4" t="inlineStr">
        <is>
          <t>Specific polling data or forecast model updates showing the probability distribution narrowing around exactly 50 seats, or major electoral developments shifting the expected net seat change to exactly 3</t>
        </is>
      </c>
      <c r="Z41" s="4" t="inlineStr">
        <is>
          <t>Cook Political Report updated Senate ratings June 3, 2026 showing limited competitive races. Sabato's Crystal Ball updated June 11, 2026. 270toWin consensus forecast shows median of 50 seats. Primary season actively underway with competitive primaries in Georgia, Alabama (June 2026). The Economist model gives Republicans 52% chance of retaining Senate majority.</t>
        </is>
      </c>
      <c r="AA41" s="4" t="inlineStr">
        <is>
          <t>skipped_not_certain</t>
        </is>
      </c>
      <c r="AB41" s="4" t="inlineStr">
        <is>
          <t>deep_scan</t>
        </is>
      </c>
      <c r="AC41" s="4" t="inlineStr">
        <is>
          <t>2026-06-17</t>
        </is>
      </c>
    </row>
    <row r="42" ht="45" customHeight="1">
      <c r="A42" s="4">
        <f>HYPERLINK("https://kalshi.com/markets/kxcbpairport","KXCBPAIRPORT-27-27JAN01")</f>
        <v/>
      </c>
      <c r="B42" s="4" t="inlineStr">
        <is>
          <t>Will it be reported by any of the Source Agencies that the federal government withdraws CBP officers from a U.S. international airport in response to sanctuary-jurisdiction noncooperation before Jan 1, 2027?</t>
        </is>
      </c>
      <c r="C42" s="4" t="inlineStr">
        <is>
          <t>Politics</t>
        </is>
      </c>
      <c r="D42" s="4" t="inlineStr">
        <is>
          <t>NO</t>
        </is>
      </c>
      <c r="E42" s="4" t="n">
        <v>81</v>
      </c>
      <c r="F42" s="4" t="n">
        <v>0</v>
      </c>
      <c r="G42" s="4" t="n">
        <v>78</v>
      </c>
      <c r="H42" s="4" t="inlineStr">
        <is>
          <t>LIKELY</t>
        </is>
      </c>
      <c r="I42" s="4" t="inlineStr"/>
      <c r="J42" s="4" t="inlineStr">
        <is>
          <t>skipped_not_certain</t>
        </is>
      </c>
      <c r="K42" s="4" t="inlineStr"/>
      <c r="L42" s="4" t="inlineStr"/>
      <c r="M42" s="4" t="inlineStr"/>
      <c r="N42" s="4" t="inlineStr"/>
      <c r="O42" s="4" t="inlineStr"/>
      <c r="P42" s="4" t="n">
        <v>44.18</v>
      </c>
      <c r="Q42" s="4" t="inlineStr">
        <is>
          <t>2027-01-01</t>
        </is>
      </c>
      <c r="R42" s="4" t="inlineStr"/>
      <c r="S42" s="4" t="n">
        <v>7398</v>
      </c>
      <c r="T42" s="4" t="inlineStr"/>
      <c r="U42" s="4" t="inlineStr"/>
      <c r="V42" s="4" t="inlineStr"/>
      <c r="W42" s="4" t="inlineStr">
        <is>
          <t>DHS Secretary Mullin has publicly and repeatedly confirmed the administration is actively drawing up plans, suggesting genuine intent beyond rhetoric | The Trump administration has demonstrated willingness to take aggressive immigration enforcement actions; Acting Attorney General Todd Blanche publicly defended the threats on Fox News</t>
        </is>
      </c>
      <c r="X42" s="4" t="inlineStr">
        <is>
          <t>The settlement criteria require reporting from specific Source Agencies — even if a withdrawal occurs, it must be reported by the listed agencies to count; secondary reporting or wire service republication may not qualify under the detailed rules</t>
        </is>
      </c>
      <c r="Y42" s="4" t="inlineStr">
        <is>
          <t>An official DHS memo or executive order directing withdrawal of CBP officers from a specific sanctuary city airport, or a public announcement from a Source Agency that withdrawal has occurred</t>
        </is>
      </c>
      <c r="Z42" s="4" t="inlineStr">
        <is>
          <t>In the weeks since the research was conducted (late May/early June 2026), the narrative has remained at the rhetorical stage. Mullin's Fox News appearances reiterate the threat, sanctuary states (CA, NY) prepare legal challenges, travel industry continues opposition, and no actual withdrawal has occurred. The FIFA World Cup (July 2026) presents a near-term binding constraint that makes pre-July implementation unlikely.</t>
        </is>
      </c>
      <c r="AA42" s="4" t="inlineStr">
        <is>
          <t>skipped_not_certain</t>
        </is>
      </c>
      <c r="AB42" s="4" t="inlineStr">
        <is>
          <t>deep_scan</t>
        </is>
      </c>
      <c r="AC42" s="4" t="inlineStr">
        <is>
          <t>2026-06-17</t>
        </is>
      </c>
    </row>
    <row r="43" ht="45" customHeight="1">
      <c r="A43" s="4">
        <f>HYPERLINK("https://kalshi.com/markets/kxclosestgovernor","KXCLOSESTGOVERNOR-27JAN20-IA")</f>
        <v/>
      </c>
      <c r="B43" s="4" t="inlineStr">
        <is>
          <t>Will Iowa have the smallest margin of victory in 2026 United States gubernatorial elections?</t>
        </is>
      </c>
      <c r="C43" s="4" t="inlineStr">
        <is>
          <t>Elections</t>
        </is>
      </c>
      <c r="D43" s="4" t="inlineStr">
        <is>
          <t>NO</t>
        </is>
      </c>
      <c r="E43" s="4" t="n">
        <v>84</v>
      </c>
      <c r="F43" s="4" t="n">
        <v>0</v>
      </c>
      <c r="G43" s="4" t="n">
        <v>82</v>
      </c>
      <c r="H43" s="4" t="inlineStr">
        <is>
          <t>LIKELY</t>
        </is>
      </c>
      <c r="I43" s="4" t="inlineStr"/>
      <c r="J43" s="4" t="inlineStr">
        <is>
          <t>skipped_not_certain</t>
        </is>
      </c>
      <c r="K43" s="4" t="inlineStr"/>
      <c r="L43" s="4" t="inlineStr"/>
      <c r="M43" s="4" t="inlineStr"/>
      <c r="N43" s="4" t="inlineStr"/>
      <c r="O43" s="4" t="inlineStr"/>
      <c r="P43" s="4" t="n">
        <v>44.14</v>
      </c>
      <c r="Q43" s="4" t="inlineStr">
        <is>
          <t>2027-01-20</t>
        </is>
      </c>
      <c r="R43" s="4" t="inlineStr"/>
      <c r="S43" s="4" t="n">
        <v>5236</v>
      </c>
      <c r="T43" s="4" t="inlineStr"/>
      <c r="U43" s="4" t="inlineStr"/>
      <c r="V43" s="4" t="inlineStr"/>
      <c r="W43" s="4" t="inlineStr">
        <is>
          <t>Iowa is an open seat rated 'toss up' by Cook — it is genuinely competitive and could produce a very close margin | Iowa's economy was hit hard by tariffs (economy shrank in early 2025), and both Sen. Ernst and Gov. Reynolds declined to run — potential headwinds for GOP that could tighten the race</t>
        </is>
      </c>
      <c r="X43" s="4" t="inlineStr">
        <is>
          <t>The settlement uses official or preliminary results — if a state has delayed results (recounts, legal challenges), the preliminary results with 95%+ reporting are used; this could mean Iowa's margin is not yet final when another state's margin is, potentially affecting the comparison</t>
        </is>
      </c>
      <c r="Y43" s="4" t="inlineStr">
        <is>
          <t>General election polling showing Iowa within 1-2 points while other competitive states show wider gaps, or a late-breaking scandal that produces a uniquely close outcome in Iowa</t>
        </is>
      </c>
      <c r="Z43" s="4" t="inlineStr">
        <is>
          <t>As of June 2026, Iowa primaries concluded with Zach Lahn (R) winning an upset over Feenstra (37.8% to 37%) and Rob Sand (D) unopposed. Cook Political Report moved the race to 'toss up'. Lahn's primary victory was narrow, suggesting potential Republican divisions heading into the general. No general election polling is yet available. Multiple other gubernatorial primaries still unfolding.</t>
        </is>
      </c>
      <c r="AA43" s="4" t="inlineStr">
        <is>
          <t>skipped_not_certain</t>
        </is>
      </c>
      <c r="AB43" s="4" t="inlineStr">
        <is>
          <t>deep_scan</t>
        </is>
      </c>
      <c r="AC43" s="4" t="inlineStr">
        <is>
          <t>2026-06-17</t>
        </is>
      </c>
    </row>
    <row r="44" ht="45" customHeight="1">
      <c r="A44" s="4">
        <f>HYPERLINK("https://kalshi.com/markets/kxrecogsomali","KXRECOGSOMALI-29-27")</f>
        <v/>
      </c>
      <c r="B44" s="4" t="inlineStr">
        <is>
          <t>Will Trump recognize Somaliland?</t>
        </is>
      </c>
      <c r="C44" s="4" t="inlineStr">
        <is>
          <t>Politics</t>
        </is>
      </c>
      <c r="D44" s="4" t="inlineStr">
        <is>
          <t>NO</t>
        </is>
      </c>
      <c r="E44" s="4" t="n">
        <v>80</v>
      </c>
      <c r="F44" s="4" t="n">
        <v>0</v>
      </c>
      <c r="G44" s="4" t="n">
        <v>93</v>
      </c>
      <c r="H44" s="4" t="inlineStr">
        <is>
          <t>LIKELY</t>
        </is>
      </c>
      <c r="I44" s="4" t="inlineStr"/>
      <c r="J44" s="4" t="inlineStr">
        <is>
          <t>skipped_not_certain</t>
        </is>
      </c>
      <c r="K44" s="4" t="inlineStr"/>
      <c r="L44" s="4" t="inlineStr"/>
      <c r="M44" s="4" t="inlineStr"/>
      <c r="N44" s="4" t="inlineStr"/>
      <c r="O44" s="4" t="inlineStr"/>
      <c r="P44" s="4" t="n">
        <v>43.76</v>
      </c>
      <c r="Q44" s="4" t="inlineStr">
        <is>
          <t>2027-01-01</t>
        </is>
      </c>
      <c r="R44" s="4" t="inlineStr"/>
      <c r="S44" s="4" t="n">
        <v>6990</v>
      </c>
      <c r="T44" s="4" t="inlineStr"/>
      <c r="U44" s="4" t="inlineStr"/>
      <c r="V44" s="4" t="inlineStr"/>
      <c r="W44" s="4" t="inlineStr"/>
      <c r="X44" s="4" t="inlineStr">
        <is>
          <t>The rules define recognition as explicit and formal — e.g., opening an embassy, accepting an ambassador, including in State Department country lists, or signing a formal treaty/communique. Kalshi's settlement team would need to verify that any action meets this threshold. A 'joint statement' or 'liaison office' that stops short of formal recognition would not trigger YES. Low settlement ambiguity.</t>
        </is>
      </c>
      <c r="Y44" s="4" t="inlineStr">
        <is>
          <t>Trump issuing an executive order or presidential memorandum recognizing Somaliland, or the State Department reversing its June 2026 position and issuing a formal recognition statement. A significant shift in Somalia-US relations (e.g., Somalia aligning with a US adversary) could also change the calculus.</t>
        </is>
      </c>
      <c r="Z44" s="4" t="inlineStr">
        <is>
          <t>On June 2, 2026, the US State Department submitted a report to Congress reaffirming Somali sovereignty and territorial integrity, explicitly stating Somaliland is part of Somalia. A congressional source told Middle East Eye on June 5, 2026 that Trump is not expected to recognize Somaliland and there was 'never a sign' he would proceed. The report identifies areas for practical cooperation (security, trade, development) but firmly within Somalia's recognized borders. Somaliland advocates expressed disappointment, describing the report as 'bureaucratic.'</t>
        </is>
      </c>
      <c r="AA44" s="4" t="inlineStr">
        <is>
          <t>skipped_not_certain</t>
        </is>
      </c>
      <c r="AB44" s="4" t="inlineStr">
        <is>
          <t>deep_scan</t>
        </is>
      </c>
      <c r="AC44" s="4" t="inlineStr">
        <is>
          <t>2026-06-17</t>
        </is>
      </c>
    </row>
    <row r="45" ht="45" customHeight="1">
      <c r="A45" s="4">
        <f>HYPERLINK("https://kalshi.com/markets/kxsuperbowlheadline","KXSUPERBOWLHEADLINE-27-TAY")</f>
        <v/>
      </c>
      <c r="B45" s="4" t="inlineStr">
        <is>
          <t>Who will headline the Pro Football Championship Halftime Show?</t>
        </is>
      </c>
      <c r="C45" s="4" t="inlineStr">
        <is>
          <t>Entertainment</t>
        </is>
      </c>
      <c r="D45" s="4" t="inlineStr">
        <is>
          <t>NO</t>
        </is>
      </c>
      <c r="E45" s="4" t="n">
        <v>81</v>
      </c>
      <c r="F45" s="4" t="n">
        <v>0</v>
      </c>
      <c r="G45" s="4" t="n">
        <v>85</v>
      </c>
      <c r="H45" s="4" t="inlineStr">
        <is>
          <t>LIKELY</t>
        </is>
      </c>
      <c r="I45" s="4" t="inlineStr"/>
      <c r="J45" s="4" t="inlineStr">
        <is>
          <t>skipped_not_certain</t>
        </is>
      </c>
      <c r="K45" s="4" t="inlineStr"/>
      <c r="L45" s="4" t="inlineStr"/>
      <c r="M45" s="4" t="inlineStr"/>
      <c r="N45" s="4" t="inlineStr"/>
      <c r="O45" s="4" t="inlineStr"/>
      <c r="P45" s="4" t="n">
        <v>43.43</v>
      </c>
      <c r="Q45" s="4" t="inlineStr">
        <is>
          <t>2027-02-15</t>
        </is>
      </c>
      <c r="R45" s="4" t="inlineStr"/>
      <c r="S45" s="4" t="n">
        <v>6141</v>
      </c>
      <c r="T45" s="4" t="inlineStr"/>
      <c r="U45" s="4" t="inlineStr"/>
      <c r="V45" s="4" t="inlineStr"/>
      <c r="W45" s="4" t="inlineStr"/>
      <c r="X45" s="4" t="inlineStr">
        <is>
          <t>The market resolves to Yes if Swift is 'announced' as the headliner. An unofficial leak, a hint, or a speculative report does not count — resolution requires an official announcement. If Swift's team issues a denial after a false report, the No side should still win cleanly</t>
        </is>
      </c>
      <c r="Y45" s="4" t="inlineStr">
        <is>
          <t>If the NFL or Roc Nation officially announces Taylor Swift as the Super Bowl LXI halftime headliner, or if Swift publicly states she has changed her mind and is entering negotiations</t>
        </is>
      </c>
      <c r="Z45" s="4" t="inlineStr">
        <is>
          <t>Super Bowl LX took place on February 8, 2026 with Bad Bunny headlining. Since then, speculation has shifted to SB LXI (Feb 14, 2027 at SoFi Stadium). Kalshi odds show Miley Cyrus leading at 28.5%, and BTS's J-Hope expressed interest in the slot in March 2026. A May 2026 US Magazine report noted 'increased speculation' about Swift but provided no concrete evidence of a change in her position. Fan polls consistently rank Swift as the #1 desired performer, but no credible source suggests she has reversed her decision to decline.</t>
        </is>
      </c>
      <c r="AA45" s="4" t="inlineStr">
        <is>
          <t>skipped_not_certain</t>
        </is>
      </c>
      <c r="AB45" s="4" t="inlineStr">
        <is>
          <t>deep_scan</t>
        </is>
      </c>
      <c r="AC45" s="4" t="inlineStr">
        <is>
          <t>2026-06-17</t>
        </is>
      </c>
    </row>
    <row r="46" ht="45" customHeight="1">
      <c r="A46" s="4">
        <f>HYPERLINK("https://kalshi.com/markets/kxclosestgovernor","KXCLOSESTGOVERNOR-27JAN20-WI")</f>
        <v/>
      </c>
      <c r="B46" s="4" t="inlineStr">
        <is>
          <t>Will Wisconsin have the smallest margin of victory in 2026 United States gubernatorial elections?</t>
        </is>
      </c>
      <c r="C46" s="4" t="inlineStr">
        <is>
          <t>Elections</t>
        </is>
      </c>
      <c r="D46" s="4" t="inlineStr">
        <is>
          <t>NO</t>
        </is>
      </c>
      <c r="E46" s="4" t="n">
        <v>82</v>
      </c>
      <c r="F46" s="4" t="n">
        <v>0</v>
      </c>
      <c r="G46" s="4" t="n">
        <v>73</v>
      </c>
      <c r="H46" s="4" t="inlineStr">
        <is>
          <t>LIKELY</t>
        </is>
      </c>
      <c r="I46" s="4" t="inlineStr"/>
      <c r="J46" s="4" t="inlineStr">
        <is>
          <t>skipped_not_certain</t>
        </is>
      </c>
      <c r="K46" s="4" t="inlineStr"/>
      <c r="L46" s="4" t="inlineStr"/>
      <c r="M46" s="4" t="inlineStr"/>
      <c r="N46" s="4" t="inlineStr"/>
      <c r="O46" s="4" t="inlineStr"/>
      <c r="P46" s="4" t="n">
        <v>42.64</v>
      </c>
      <c r="Q46" s="4" t="inlineStr">
        <is>
          <t>2027-01-20</t>
        </is>
      </c>
      <c r="R46" s="4" t="inlineStr"/>
      <c r="S46" s="4" t="n">
        <v>3457</v>
      </c>
      <c r="T46" s="4" t="inlineStr"/>
      <c r="U46" s="4" t="inlineStr"/>
      <c r="V46" s="4" t="inlineStr"/>
      <c r="W46" s="4" t="inlineStr">
        <is>
          <t>Wisconsin has a history of extremely close statewide elections: 2022 governor (3.4% margin), 2020 presidential (0.6% margin), making it a strong candidate for the smallest margin | Wisconsin is an open-seat race with no incumbent, rated a toss-up by Cook, Inside Elections, and Sabato's Crystal Ball, increasing the probability of a very close result</t>
        </is>
      </c>
      <c r="X46" s="4" t="inlineStr">
        <is>
          <t>If official results aren't certified by the January 20, 2027 deadline, Kalshi uses preliminary results with 95%+ of expected vote counted. Identical margins among states would cause equal payout splits. Neither scenario fundamentally challenges the NO resolution.</t>
        </is>
      </c>
      <c r="Y46" s="4" t="inlineStr">
        <is>
          <t>If statewide polling consistently shows Wisconsin's margin narrowing to 1-2% while other toss-up states (AZ, MI, NV, GA) show wider margins of 5%+, the NO case would weaken. Conversely, if the Wisconsin projected margin exceeds 5% or other competitive states tighten further, NO becomes more likely.</t>
        </is>
      </c>
      <c r="Z46" s="4" t="inlineStr">
        <is>
          <t>Wisconsin's candidate filing deadline passed June 1, 2026, with 7 Democrats and 2 Republicans confirmed for the August 11 primary. WisPredict updated its forecast June 17 projecting a Democratic win (+7.8% margin). The race remains rated a toss-up by all major forecasters. The primary is 55 days away, and the general election landscape is still forming with no general election head-to-head polling yet available.</t>
        </is>
      </c>
      <c r="AA46" s="4" t="inlineStr">
        <is>
          <t>skipped_not_certain</t>
        </is>
      </c>
      <c r="AB46" s="4" t="inlineStr">
        <is>
          <t>deep_scan</t>
        </is>
      </c>
      <c r="AC46" s="4" t="inlineStr">
        <is>
          <t>2026-06-17</t>
        </is>
      </c>
    </row>
    <row r="47" ht="45" customHeight="1">
      <c r="A47" s="4">
        <f>HYPERLINK("https://kalshi.com/markets/kxstripeipo","KXSTRIPEIPO-27MAY01")</f>
        <v/>
      </c>
      <c r="B47" s="4" t="inlineStr">
        <is>
          <t>When will Stripe IPO?</t>
        </is>
      </c>
      <c r="C47" s="4" t="inlineStr">
        <is>
          <t>Economics</t>
        </is>
      </c>
      <c r="D47" s="4" t="inlineStr">
        <is>
          <t>NO</t>
        </is>
      </c>
      <c r="E47" s="4" t="n">
        <v>83</v>
      </c>
      <c r="F47" s="4" t="n">
        <v>0</v>
      </c>
      <c r="G47" s="4" t="n">
        <v>82</v>
      </c>
      <c r="H47" s="4" t="inlineStr">
        <is>
          <t>LIKELY</t>
        </is>
      </c>
      <c r="I47" s="4" t="inlineStr"/>
      <c r="J47" s="4" t="inlineStr">
        <is>
          <t>skipped_not_certain</t>
        </is>
      </c>
      <c r="K47" s="4" t="inlineStr"/>
      <c r="L47" s="4" t="inlineStr"/>
      <c r="M47" s="4" t="inlineStr"/>
      <c r="N47" s="4" t="inlineStr"/>
      <c r="O47" s="4" t="inlineStr"/>
      <c r="P47" s="4" t="n">
        <v>42.41</v>
      </c>
      <c r="Q47" s="4" t="inlineStr">
        <is>
          <t>2027-05-01</t>
        </is>
      </c>
      <c r="R47" s="4" t="inlineStr"/>
      <c r="S47" s="4" t="n">
        <v>3126</v>
      </c>
      <c r="T47" s="4" t="inlineStr"/>
      <c r="U47" s="4" t="inlineStr"/>
      <c r="V47" s="4" t="inlineStr"/>
      <c r="W47" s="4" t="inlineStr">
        <is>
          <t>TechStackIPO claims Stripe filed S-1 on Feb 14, 2026, but this conflicts with all other sources. TechStackIPO's own pages are internally inconsistent and the site relies on AI-generated content without independent verification. Major financial media have not confirmed any S-1 filing.</t>
        </is>
      </c>
      <c r="X47" s="4" t="inlineStr">
        <is>
          <t>Kalshi's settlement criteria are clearly defined — any of three triggers (S-1 effective, IPO priced, exchange assigns ticker) resolves YES. No ambiguity in interpretation.</t>
        </is>
      </c>
      <c r="Y47" s="4" t="inlineStr">
        <is>
          <t>If Stripe publicly files an S-1 with the SEC, announces banking mandates/underwriters, or Collison signals a change in IPO stance, the probability shifts significantly toward YES.</t>
        </is>
      </c>
      <c r="Z47" s="4" t="inlineStr">
        <is>
          <t>Value Add VC (June 7, 2026) confirms no S-1 and no IPO plan. Allocations (June 2026) confirms no banking mandates. Feb 2026 tender at $159B shows continued private market liquidity via tender offers. Polymarket still shows 99% no-IPO by mid-2026.</t>
        </is>
      </c>
      <c r="AA47" s="4" t="inlineStr">
        <is>
          <t>skipped_not_certain</t>
        </is>
      </c>
      <c r="AB47" s="4" t="inlineStr">
        <is>
          <t>deep_scan</t>
        </is>
      </c>
      <c r="AC47" s="4" t="inlineStr">
        <is>
          <t>2026-06-17</t>
        </is>
      </c>
    </row>
    <row r="48" ht="45" customHeight="1">
      <c r="A48" s="4">
        <f>HYPERLINK("https://kalshi.com/markets/kxipofannie","KXIPOFANNIE-27MAR01")</f>
        <v/>
      </c>
      <c r="B48" s="4" t="inlineStr">
        <is>
          <t>When will Fannie Mae officially announce an IPO?</t>
        </is>
      </c>
      <c r="C48" s="4" t="inlineStr">
        <is>
          <t>Economics</t>
        </is>
      </c>
      <c r="D48" s="4" t="inlineStr">
        <is>
          <t>NO</t>
        </is>
      </c>
      <c r="E48" s="4" t="n">
        <v>84</v>
      </c>
      <c r="F48" s="4" t="n">
        <v>0</v>
      </c>
      <c r="G48" s="4" t="n">
        <v>80</v>
      </c>
      <c r="H48" s="4" t="inlineStr">
        <is>
          <t>LIKELY</t>
        </is>
      </c>
      <c r="I48" s="4" t="inlineStr"/>
      <c r="J48" s="4" t="inlineStr">
        <is>
          <t>skipped_not_certain</t>
        </is>
      </c>
      <c r="K48" s="4" t="inlineStr"/>
      <c r="L48" s="4" t="inlineStr"/>
      <c r="M48" s="4" t="inlineStr"/>
      <c r="N48" s="4" t="inlineStr"/>
      <c r="O48" s="4" t="inlineStr"/>
      <c r="P48" s="4" t="n">
        <v>41.93</v>
      </c>
      <c r="Q48" s="4" t="inlineStr">
        <is>
          <t>2027-03-01</t>
        </is>
      </c>
      <c r="R48" s="4" t="inlineStr"/>
      <c r="S48" s="4" t="n">
        <v>2083</v>
      </c>
      <c r="T48" s="4" t="inlineStr"/>
      <c r="U48" s="4" t="inlineStr"/>
      <c r="V48" s="4" t="inlineStr"/>
      <c r="W48" s="4" t="inlineStr">
        <is>
          <t>Trump has publicly stated support for a Fannie/Freddie IPO and met with Wall Street CEOs (Dimon, Solomon, Moynihan) to discuss it. The administration continues to reference GSE privatization as a stated goal, and FHFA has rebranded to 'U.S. Federal Housing' suggesting active preparation.</t>
        </is>
      </c>
      <c r="X48" s="4" t="inlineStr">
        <is>
          <t>Kalshi's settlement criteria are clearly defined — any of three triggers (S-1 effective, IPO priced, exchange assigns ticker) resolves YES. The rules are unambiguous and Kalshi has a track record of resolving similar IPO markets cleanly.</t>
        </is>
      </c>
      <c r="Y48" s="4" t="inlineStr">
        <is>
          <t>If Trump announces a concrete IPO timeline, if legislation/regulatory framework is proposed, or if FHFA names a dedicated privatization lead while Pulte focuses on DNI, the probability of a pre-March 2027 IPO would increase materially.</t>
        </is>
      </c>
      <c r="Z48" s="4" t="inlineStr">
        <is>
          <t>Pulte appointed acting DNI (June 2026), creating leadership bandwidth concerns. Trump reiterated IPO 'on the table' but 'not a rush' (June 5, 2026). FNMA stock down 37% YTD. Briefs Finance (June 6) and HousingWire (June 5) both report slowed timeline. Octagon AI model shows single-digit probabilities for pre-March 2027 dates.</t>
        </is>
      </c>
      <c r="AA48" s="4" t="inlineStr">
        <is>
          <t>skipped_not_certain</t>
        </is>
      </c>
      <c r="AB48" s="4" t="inlineStr">
        <is>
          <t>deep_scan</t>
        </is>
      </c>
      <c r="AC48" s="4" t="inlineStr">
        <is>
          <t>2026-06-17</t>
        </is>
      </c>
    </row>
    <row r="49" ht="45" customHeight="1">
      <c r="A49" s="4">
        <f>HYPERLINK("https://kalshi.com/markets/kxsuperbowlheadline","KXSUPERBOWLHEADLINE-27-ARI")</f>
        <v/>
      </c>
      <c r="B49" s="4" t="inlineStr">
        <is>
          <t>Who will headline the Pro Football Championship Halftime Show?</t>
        </is>
      </c>
      <c r="C49" s="4" t="inlineStr">
        <is>
          <t>Entertainment</t>
        </is>
      </c>
      <c r="D49" s="4" t="inlineStr">
        <is>
          <t>NO</t>
        </is>
      </c>
      <c r="E49" s="4" t="n">
        <v>81</v>
      </c>
      <c r="F49" s="4" t="n">
        <v>0</v>
      </c>
      <c r="G49" s="4" t="n">
        <v>68</v>
      </c>
      <c r="H49" s="4" t="inlineStr">
        <is>
          <t>LIKELY</t>
        </is>
      </c>
      <c r="I49" s="4" t="inlineStr"/>
      <c r="J49" s="4" t="inlineStr">
        <is>
          <t>skipped_not_certain</t>
        </is>
      </c>
      <c r="K49" s="4" t="inlineStr"/>
      <c r="L49" s="4" t="inlineStr"/>
      <c r="M49" s="4" t="inlineStr"/>
      <c r="N49" s="4" t="inlineStr"/>
      <c r="O49" s="4" t="inlineStr"/>
      <c r="P49" s="4" t="n">
        <v>41.55</v>
      </c>
      <c r="Q49" s="4" t="inlineStr">
        <is>
          <t>2027-02-15</t>
        </is>
      </c>
      <c r="R49" s="4" t="inlineStr"/>
      <c r="S49" s="4" t="n">
        <v>2579</v>
      </c>
      <c r="T49" s="4" t="inlineStr"/>
      <c r="U49" s="4" t="inlineStr"/>
      <c r="V49" s="4" t="inlineStr"/>
      <c r="W49" s="4" t="inlineStr">
        <is>
          <t>BetOnline lists Ariana Grande as the 2/1 favorite to headline the 2027 Super Bowl halftime show, indicating mixed market sentiment across platforms | Grande was the most-streamed Spotify artist of 2025 who has not yet performed a Super Bowl halftime show, and her starring role in 'Wicked' significantly raised her global profile</t>
        </is>
      </c>
      <c r="X49" s="4" t="inlineStr">
        <is>
          <t>Low — Kalshi will resolve based on official NFL announcement; criteria are clear and binary</t>
        </is>
      </c>
      <c r="Y49" s="4" t="inlineStr">
        <is>
          <t>Official NFL/Roc Nation/Apple Music announcement naming Ariana Grande as the Super Bowl LXI halftime headliner, or credible reporting from major entertainment outlets confirming her selection</t>
        </is>
      </c>
      <c r="Z49" s="4" t="inlineStr">
        <is>
          <t>No official Super Bowl LXI halftime announcement as of June 2026. Grande actively touring on The Eternal Sunshine Tour with scheduled dates (Moody Center Austin, June 2026). FanDuel Canada posted early performer odds Feb 2026 with Miley Cyrus as favorite. Multiple sportsbooks published odds lists in Feb 2026 naming Grande among contenders but not the clear favorite. NFL typically announces in September during regular season.</t>
        </is>
      </c>
      <c r="AA49" s="4" t="inlineStr">
        <is>
          <t>skipped_not_certain</t>
        </is>
      </c>
      <c r="AB49" s="4" t="inlineStr">
        <is>
          <t>deep_scan</t>
        </is>
      </c>
      <c r="AC49" s="4" t="inlineStr">
        <is>
          <t>2026-06-17</t>
        </is>
      </c>
    </row>
    <row r="50" ht="45" customHeight="1">
      <c r="A50" s="4">
        <f>HYPERLINK("https://kalshi.com/markets/kxsahm","KXSAHM-27JAN08-T0.50")</f>
        <v/>
      </c>
      <c r="B50" s="4" t="inlineStr">
        <is>
          <t>Will the Real-time Sahm Rule Recession Indicator trigger in 2026?</t>
        </is>
      </c>
      <c r="C50" s="4" t="inlineStr">
        <is>
          <t>Economics</t>
        </is>
      </c>
      <c r="D50" s="4" t="inlineStr">
        <is>
          <t>NO</t>
        </is>
      </c>
      <c r="E50" s="4" t="n">
        <v>82</v>
      </c>
      <c r="F50" s="4" t="n">
        <v>0</v>
      </c>
      <c r="G50" s="4" t="n">
        <v>78</v>
      </c>
      <c r="H50" s="4" t="inlineStr">
        <is>
          <t>LIKELY</t>
        </is>
      </c>
      <c r="I50" s="4" t="inlineStr"/>
      <c r="J50" s="4" t="inlineStr">
        <is>
          <t>skipped_not_certain</t>
        </is>
      </c>
      <c r="K50" s="4" t="inlineStr"/>
      <c r="L50" s="4" t="inlineStr"/>
      <c r="M50" s="4" t="inlineStr"/>
      <c r="N50" s="4" t="inlineStr"/>
      <c r="O50" s="4" t="inlineStr"/>
      <c r="P50" s="4" t="n">
        <v>40.86</v>
      </c>
      <c r="Q50" s="4" t="inlineStr">
        <is>
          <t>2027-01-08</t>
        </is>
      </c>
      <c r="R50" s="4" t="inlineStr"/>
      <c r="S50" s="4" t="n">
        <v>1448</v>
      </c>
      <c r="T50" s="4" t="inlineStr"/>
      <c r="U50" s="4" t="inlineStr"/>
      <c r="V50" s="4" t="inlineStr"/>
      <c r="W50" s="4" t="inlineStr"/>
      <c r="X50" s="4" t="inlineStr">
        <is>
          <t>The market resolves to the first published SAHMREALTIME value for each monthly observation — revisions are not considered. The upcoming January 2027 BLS seasonal revision could affect December 2026 data, but per rules, revisions to previously published values are not considered. Settlement mechanism is straightforward.</t>
        </is>
      </c>
      <c r="Y50" s="4" t="inlineStr">
        <is>
          <t>A sharp spike in unemployment caused by the Iran war energy shock, escalation of tariff impacts on manufacturing employment, or a sudden financial crisis that triggers mass layoffs, pushing the 3-month moving average of unemployment above its 12-month low by 0.50pp or more before December 2026</t>
        </is>
      </c>
      <c r="Z50" s="4" t="inlineStr">
        <is>
          <t>The June 5, 2026 BLS jobs report showed a strong labor market with 172K jobs added and unemployment steady at 4.3%. The FOMC on June 17, 2026 held rates steady and projected 4.3% unemployment through 2027. SAHMREALTIME data for May 2026 was released showing 0.10 — continuing the declining trend from the 0.43 peak in November 2025. The WhatIsARecession.com dashboard as of June 7 showed a reading of 0.47, but this appears to use a different calculation than the SAHMREALTIME FRED series that determines settlement.</t>
        </is>
      </c>
      <c r="AA50" s="4" t="inlineStr">
        <is>
          <t>skipped_not_certain</t>
        </is>
      </c>
      <c r="AB50" s="4" t="inlineStr">
        <is>
          <t>deep_scan</t>
        </is>
      </c>
      <c r="AC50" s="4" t="inlineStr">
        <is>
          <t>2026-06-17</t>
        </is>
      </c>
    </row>
    <row r="51" ht="45" customHeight="1">
      <c r="A51" s="4">
        <f>HYPERLINK("https://kalshi.com/markets/kxipofannie","KXIPOFANNIE-27APR01")</f>
        <v/>
      </c>
      <c r="B51" s="4" t="inlineStr">
        <is>
          <t>When will Fannie Mae officially announce an IPO?</t>
        </is>
      </c>
      <c r="C51" s="4" t="inlineStr">
        <is>
          <t>Economics</t>
        </is>
      </c>
      <c r="D51" s="4" t="inlineStr">
        <is>
          <t>NO</t>
        </is>
      </c>
      <c r="E51" s="4" t="n">
        <v>82</v>
      </c>
      <c r="F51" s="4" t="n">
        <v>0</v>
      </c>
      <c r="G51" s="4" t="n">
        <v>74</v>
      </c>
      <c r="H51" s="4" t="inlineStr">
        <is>
          <t>LIKELY</t>
        </is>
      </c>
      <c r="I51" s="4" t="inlineStr"/>
      <c r="J51" s="4" t="inlineStr">
        <is>
          <t>skipped_not_certain</t>
        </is>
      </c>
      <c r="K51" s="4" t="inlineStr">
        <is>
          <t>Future-event market: searched_for and reasons show no forward-looking research (forecasts, projections, polling, election outlook). Current-state data does not determine this market's outcome — downgrade to LIKELY.</t>
        </is>
      </c>
      <c r="L51" s="4" t="inlineStr"/>
      <c r="M51" s="4" t="inlineStr"/>
      <c r="N51" s="4" t="inlineStr"/>
      <c r="O51" s="4" t="inlineStr"/>
      <c r="P51" s="4" t="n">
        <v>40.68</v>
      </c>
      <c r="Q51" s="4" t="inlineStr">
        <is>
          <t>2027-04-01</t>
        </is>
      </c>
      <c r="R51" s="4" t="inlineStr"/>
      <c r="S51" s="4" t="n">
        <v>1590</v>
      </c>
      <c r="T51" s="4" t="inlineStr"/>
      <c r="U51" s="4" t="inlineStr"/>
      <c r="V51" s="4" t="inlineStr"/>
      <c r="W51" s="4" t="inlineStr"/>
      <c r="X51" s="4" t="inlineStr">
        <is>
          <t>The market resolves to Yes if the SEC declares Fannie Mae's Form S-1 effective OR the IPO is priced OR a securities exchange assigns a ticker. These are objective, verifiable events with no ambiguity. Low settlement risk.</t>
        </is>
      </c>
      <c r="Y51" s="4" t="inlineStr">
        <is>
          <t>A surprise S-1 filing by Fannie Mae with the SEC, a Trump administration directive establishing a concrete IPO timeline and process, or legislation forcing FHFA to accelerate the conservatorship exit — any of which would create a feasible path to IPO within 9 months</t>
        </is>
      </c>
      <c r="Z51" s="4" t="inlineStr">
        <is>
          <t>On June 5-6, 2026, multiple outlets reported the Fannie Mae IPO is stalled: Trump said it's 'still on the table' but offered no timeline; FHFA Director Pulte became acting DNI while retaining FHFA, dividing his attention; Fannie Mae shares surged then fell after Trump's $1T valuation claim contradicted Wall Street's $200-250B estimate. No S-1, no ticker, no timeline.</t>
        </is>
      </c>
      <c r="AA51" s="4" t="inlineStr">
        <is>
          <t>skipped_not_certain</t>
        </is>
      </c>
      <c r="AB51" s="4" t="inlineStr">
        <is>
          <t>deep_scan</t>
        </is>
      </c>
      <c r="AC51" s="4" t="inlineStr">
        <is>
          <t>2026-06-17</t>
        </is>
      </c>
    </row>
    <row r="52" ht="45" customHeight="1">
      <c r="A52" s="4">
        <f>HYPERLINK("https://kalshi.com/markets/kxbrinfhigh","KXBRINFHIGH-27JAN01-T5.00")</f>
        <v/>
      </c>
      <c r="B52" s="4" t="inlineStr">
        <is>
          <t>Will Brazil annual inflation rate before 2027 be above 5.00%?</t>
        </is>
      </c>
      <c r="C52" s="4" t="inlineStr">
        <is>
          <t>Economics</t>
        </is>
      </c>
      <c r="D52" s="4" t="inlineStr">
        <is>
          <t>YES</t>
        </is>
      </c>
      <c r="E52" s="4" t="n">
        <v>83</v>
      </c>
      <c r="F52" s="4" t="n">
        <v>0</v>
      </c>
      <c r="G52" s="4" t="n">
        <v>88</v>
      </c>
      <c r="H52" s="4" t="inlineStr">
        <is>
          <t>LIKELY</t>
        </is>
      </c>
      <c r="I52" s="4" t="inlineStr"/>
      <c r="J52" s="4" t="inlineStr">
        <is>
          <t>skipped_not_certain</t>
        </is>
      </c>
      <c r="K52" s="4" t="inlineStr"/>
      <c r="L52" s="4" t="inlineStr"/>
      <c r="M52" s="4" t="inlineStr"/>
      <c r="N52" s="4" t="inlineStr"/>
      <c r="O52" s="4" t="inlineStr"/>
      <c r="P52" s="4" t="n">
        <v>40.31</v>
      </c>
      <c r="Q52" s="4" t="inlineStr">
        <is>
          <t>2027-01-01</t>
        </is>
      </c>
      <c r="R52" s="4" t="inlineStr"/>
      <c r="S52" s="4" t="n">
        <v>941</v>
      </c>
      <c r="T52" s="4" t="inlineStr"/>
      <c r="U52" s="4" t="inlineStr"/>
      <c r="V52" s="4" t="inlineStr"/>
      <c r="W52" s="4" t="inlineStr"/>
      <c r="X52" s="4" t="inlineStr">
        <is>
          <t>Kalshi will use official IBGE IPCA prints. The settlement criteria are clear and standard. Low settlement risk.</t>
        </is>
      </c>
      <c r="Y52" s="4" t="inlineStr">
        <is>
          <t>A sharp drop in global oil/commodity prices, resolution of the US-Iran conflict reopening the Strait of Hormuz, or a recession in Brazil that crushes demand faster than expected could keep inflation below 5%. However, the current trajectory and all major forecasts point above 5%.</t>
        </is>
      </c>
      <c r="Z52" s="4" t="inlineStr">
        <is>
          <t>The June 15 Focus survey raised the 2026 IPCA forecast to 5.30% (14th straight weekly increase). The June 12 IBGE release showed IPCA at 4.72% YoY, above the 4.66% consensus. The Central Bank's Copom meets this week to decide on the Selic rate. Itaú BBA projects 5.4% for 2026 with upside risk.</t>
        </is>
      </c>
      <c r="AA52" s="4" t="inlineStr">
        <is>
          <t>skipped_not_certain</t>
        </is>
      </c>
      <c r="AB52" s="4" t="inlineStr">
        <is>
          <t>deep_scan</t>
        </is>
      </c>
      <c r="AC52" s="4" t="inlineStr">
        <is>
          <t>2026-06-17</t>
        </is>
      </c>
    </row>
    <row r="53" ht="45" customHeight="1">
      <c r="A53" s="4">
        <f>HYPERLINK("https://kalshi.com/markets/kxukraineeu","KXUKRAINEEU-27JAN01")</f>
        <v/>
      </c>
      <c r="B53" s="4" t="inlineStr">
        <is>
          <t>Will the European Union agree to or announce that Ukraine will receive a Pre-Accession Institutional Participation Status before Jan 1, 2027?</t>
        </is>
      </c>
      <c r="C53" s="4" t="inlineStr">
        <is>
          <t>Politics</t>
        </is>
      </c>
      <c r="D53" s="4" t="inlineStr">
        <is>
          <t>NO</t>
        </is>
      </c>
      <c r="E53" s="4" t="n">
        <v>80</v>
      </c>
      <c r="F53" s="4" t="n">
        <v>0</v>
      </c>
      <c r="G53" s="4" t="n">
        <v>82</v>
      </c>
      <c r="H53" s="4" t="inlineStr">
        <is>
          <t>LIKELY</t>
        </is>
      </c>
      <c r="I53" s="4" t="inlineStr"/>
      <c r="J53" s="4" t="inlineStr">
        <is>
          <t>skipped_not_certain</t>
        </is>
      </c>
      <c r="K53" s="4" t="inlineStr"/>
      <c r="L53" s="4" t="inlineStr"/>
      <c r="M53" s="4" t="inlineStr"/>
      <c r="N53" s="4" t="inlineStr"/>
      <c r="O53" s="4" t="inlineStr"/>
      <c r="P53" s="4" t="n">
        <v>40.04</v>
      </c>
      <c r="Q53" s="4" t="inlineStr">
        <is>
          <t>2027-01-01</t>
        </is>
      </c>
      <c r="R53" s="4" t="inlineStr"/>
      <c r="S53" s="4" t="n">
        <v>1261</v>
      </c>
      <c r="T53" s="4" t="inlineStr"/>
      <c r="U53" s="4" t="inlineStr"/>
      <c r="V53" s="4" t="inlineStr"/>
      <c r="W53" s="4" t="inlineStr">
        <is>
          <t>EU is actively discussing deeper institutional participation for Ukraine with 'accelerated gradual integration' model — could potentially evolve into qualifying status before Jan 1, 2027</t>
        </is>
      </c>
      <c r="X53" s="4" t="inlineStr">
        <is>
          <t>Low — settlement is binary based on whether any formal EU announcement of the specified status occurs before Jan 1, 2027. Clear rules define qualifying actions.</t>
        </is>
      </c>
      <c r="Y53" s="4" t="inlineStr">
        <is>
          <t>A formal EU Council decision or official announcement by an authorized EU body granting Ukraine non-voting participation in EU ministerial or institutional meetings. The pre-entry perks package currently being discussed could qualify if formally adopted.</t>
        </is>
      </c>
      <c r="Z53" s="4" t="inlineStr">
        <is>
          <t>On June 15, 2026, the EU and Ukraine opened the first accession negotiation cluster (Fundamentals). This is the most significant EU-Ukraine development in the period, but it is explicitly excluded from qualifying. The Politico report from April 30, 2026 revealed EU diplomats are preparing a pre-entry benefits package with deeper institutional participation, but this remains at the discussion stage. Hungary's April 2026 election replaced Orbán, potentially reducing one obstruction vector. Ukraine completed its EU acquis screening in September 2025.</t>
        </is>
      </c>
      <c r="AA53" s="4" t="inlineStr">
        <is>
          <t>skipped_not_certain</t>
        </is>
      </c>
      <c r="AB53" s="4" t="inlineStr">
        <is>
          <t>deep_scan</t>
        </is>
      </c>
      <c r="AC53" s="4" t="inlineStr">
        <is>
          <t>2026-06-17</t>
        </is>
      </c>
    </row>
    <row r="54" ht="45" customHeight="1">
      <c r="A54" s="4">
        <f>HYPERLINK("https://kalshi.com/markets/kxgovsendiff","KXGOVSENDIFF-27FEB01-E2")</f>
        <v/>
      </c>
      <c r="B54" s="4" t="inlineStr">
        <is>
          <t>Will the number of states in which the winner of the 2026 gubernatorial general election and the winner of a 2026 U.S. Senate general election (including special elections) are nominees of different political parties be exactly 2 2026 midterms?</t>
        </is>
      </c>
      <c r="C54" s="4" t="inlineStr">
        <is>
          <t>Elections</t>
        </is>
      </c>
      <c r="D54" s="4" t="inlineStr">
        <is>
          <t>NO</t>
        </is>
      </c>
      <c r="E54" s="4" t="n">
        <v>83</v>
      </c>
      <c r="F54" s="4" t="n">
        <v>0</v>
      </c>
      <c r="G54" s="4" t="n">
        <v>80</v>
      </c>
      <c r="H54" s="4" t="inlineStr">
        <is>
          <t>LIKELY</t>
        </is>
      </c>
      <c r="I54" s="4" t="inlineStr"/>
      <c r="J54" s="4" t="inlineStr">
        <is>
          <t>skipped_not_certain</t>
        </is>
      </c>
      <c r="K54" s="4" t="inlineStr"/>
      <c r="L54" s="4" t="inlineStr"/>
      <c r="M54" s="4" t="inlineStr"/>
      <c r="N54" s="4" t="inlineStr"/>
      <c r="O54" s="4" t="inlineStr"/>
      <c r="P54" s="4" t="n">
        <v>40</v>
      </c>
      <c r="Q54" s="4" t="inlineStr">
        <is>
          <t>2026-11-03</t>
        </is>
      </c>
      <c r="R54" s="4" t="inlineStr"/>
      <c r="S54" s="4" t="n">
        <v>400</v>
      </c>
      <c r="T54" s="4" t="inlineStr"/>
      <c r="U54" s="4" t="inlineStr"/>
      <c r="V54" s="4" t="inlineStr"/>
      <c r="W54" s="4" t="inlineStr">
        <is>
          <t>Nationalized politics has reduced split-ticket voting in recent cycles — ticket splitting has declined since the 1970s and may produce fewer divided outcomes</t>
        </is>
      </c>
      <c r="X54" s="4" t="inlineStr">
        <is>
          <t>Moderate — requires determining winners of both Senate and gubernatorial races across 26 states. Runoffs in some states (GA, LA) could delay final count, but rules specify runoff results govern.</t>
        </is>
      </c>
      <c r="Y54" s="4" t="inlineStr">
        <is>
          <t>New polling showing most competitive states trending strongly toward one party reducing split-state count, or a clear signal that only 2 states will produce divided outcomes. Closer to election day (Nov 3, 2026), forecast models will clarify the expected split count.</t>
        </is>
      </c>
      <c r="Z54" s="4" t="inlineStr">
        <is>
          <t>As of June 2026, primary season is well underway with competitive primaries in ME, SC, GA, and OH. Generic ballot averages show D+6.0 favoring Democrats. 15 gubernatorial incumbents are term-limited creating open seats. Multiple Senate races competitive in GA, MI, ME, NH, NC, OH with Polymarket showing OH and NC as toss-ups. Prediction markets show 56% chance Republicans keep Senate, 83% chance Democrats take House.</t>
        </is>
      </c>
      <c r="AA54" s="4" t="inlineStr">
        <is>
          <t>skipped_not_certain</t>
        </is>
      </c>
      <c r="AB54" s="4" t="inlineStr">
        <is>
          <t>deep_scan</t>
        </is>
      </c>
      <c r="AC54" s="4" t="inlineStr">
        <is>
          <t>2026-06-17</t>
        </is>
      </c>
    </row>
    <row r="55" ht="45" customHeight="1">
      <c r="A55" s="4">
        <f>HYPERLINK("https://kalshi.com/markets/kxaksalmon","KXAKSALMON-26ALL-T105000000")</f>
        <v/>
      </c>
      <c r="B55" s="4" t="inlineStr">
        <is>
          <t>Will Alaska's 2026 commercial all salmon harvest total 105 million fish or above?</t>
        </is>
      </c>
      <c r="C55" s="4" t="inlineStr">
        <is>
          <t>Economics</t>
        </is>
      </c>
      <c r="D55" s="4" t="inlineStr">
        <is>
          <t>YES</t>
        </is>
      </c>
      <c r="E55" s="4" t="n">
        <v>82</v>
      </c>
      <c r="F55" s="4" t="n">
        <v>0</v>
      </c>
      <c r="G55" s="4" t="n">
        <v>80</v>
      </c>
      <c r="H55" s="4" t="inlineStr">
        <is>
          <t>LIKELY</t>
        </is>
      </c>
      <c r="I55" s="4" t="inlineStr"/>
      <c r="J55" s="4" t="inlineStr">
        <is>
          <t>skipped_not_certain</t>
        </is>
      </c>
      <c r="K55" s="4" t="inlineStr"/>
      <c r="L55" s="4" t="inlineStr"/>
      <c r="M55" s="4" t="inlineStr"/>
      <c r="N55" s="4" t="inlineStr"/>
      <c r="O55" s="4" t="inlineStr"/>
      <c r="P55" s="4" t="n">
        <v>39.47</v>
      </c>
      <c r="Q55" s="4" t="inlineStr">
        <is>
          <t>2027-01-14</t>
        </is>
      </c>
      <c r="R55" s="4" t="inlineStr"/>
      <c r="S55" s="4" t="n">
        <v>782</v>
      </c>
      <c r="T55" s="4" t="inlineStr"/>
      <c r="U55" s="4" t="inlineStr"/>
      <c r="V55" s="4" t="inlineStr"/>
      <c r="W55" s="4" t="inlineStr">
        <is>
          <t>Pink salmon are in an off-year of their biennial cycle, making pink harvest inherently uncertain with limited predictive data | Projected harvest of 125.5M is 71.9M fewer fish than 2025's 197.4M, and would rank in the bottom years since 2000 if realized</t>
        </is>
      </c>
      <c r="X55" s="4" t="inlineStr">
        <is>
          <t>Low. The official state agency forecast provides a credible baseline 20% above the threshold. The season is already underway with positive early signals. The main risk is a pink salmon collapse given the inherent uncertainty in off-year forecasting.</t>
        </is>
      </c>
      <c r="Y55" s="4" t="inlineStr">
        <is>
          <t>A major collapse in sockeye returns to Bristol Bay or a pink salmon harvest dramatically below the 56M forecast would threaten the 105M threshold. Conversely, confirming ADF&amp;G inseason harvest reports tracking near forecast by September would solidify the YES outcome.</t>
        </is>
      </c>
      <c r="Z55" s="4" t="inlineStr">
        <is>
          <t>Copper River fishery opened May 22, 2026 with sockeye returns above expectations. ADF&amp;G inseason fish counts show active monitoring across Alaska. The 2026 season is still early (June), with peak sockeye and pink harvest expected July-September.</t>
        </is>
      </c>
      <c r="AA55" s="4" t="inlineStr">
        <is>
          <t>skipped_not_certain</t>
        </is>
      </c>
      <c r="AB55" s="4" t="inlineStr">
        <is>
          <t>deep_scan</t>
        </is>
      </c>
      <c r="AC55" s="4" t="inlineStr">
        <is>
          <t>2026-06-17</t>
        </is>
      </c>
    </row>
    <row r="56" ht="45" customHeight="1">
      <c r="A56" s="4">
        <f>HYPERLINK("https://kalshi.com/markets/kxvancerun","KXVANCERUN-28-27JAN01")</f>
        <v/>
      </c>
      <c r="B56" s="4" t="inlineStr">
        <is>
          <t>Will JD Vance announce a run for President of the United States before Jan 1, 2027?</t>
        </is>
      </c>
      <c r="C56" s="4" t="inlineStr">
        <is>
          <t>Elections</t>
        </is>
      </c>
      <c r="D56" s="4" t="inlineStr">
        <is>
          <t>NO</t>
        </is>
      </c>
      <c r="E56" s="4" t="n">
        <v>84</v>
      </c>
      <c r="F56" s="4" t="n">
        <v>0</v>
      </c>
      <c r="G56" s="4" t="n">
        <v>78</v>
      </c>
      <c r="H56" s="4" t="inlineStr">
        <is>
          <t>LIKELY</t>
        </is>
      </c>
      <c r="I56" s="4" t="inlineStr"/>
      <c r="J56" s="4" t="inlineStr">
        <is>
          <t>skipped_not_certain</t>
        </is>
      </c>
      <c r="K56" s="4" t="inlineStr"/>
      <c r="L56" s="4" t="inlineStr"/>
      <c r="M56" s="4" t="inlineStr"/>
      <c r="N56" s="4" t="inlineStr"/>
      <c r="O56" s="4" t="inlineStr"/>
      <c r="P56" s="4" t="n">
        <v>39.15</v>
      </c>
      <c r="Q56" s="4" t="inlineStr">
        <is>
          <t>2027-01-01</t>
        </is>
      </c>
      <c r="R56" s="4" t="inlineStr"/>
      <c r="S56" s="4" t="n">
        <v>481</v>
      </c>
      <c r="T56" s="4" t="inlineStr"/>
      <c r="U56" s="4" t="inlineStr"/>
      <c r="V56" s="4" t="inlineStr"/>
      <c r="W56" s="4" t="inlineStr">
        <is>
          <t>Trump has said he is 'very supportive' of whatever Vance decides, and Republican donors are actively encouraging a 2028 run | A 2-month window (Nov 3 - Jan 1) after the midterms provides a realistic opportunity to announce if Vance decides to run</t>
        </is>
      </c>
      <c r="X56" s="4" t="inlineStr">
        <is>
          <t>Moderate. Vance has been publicly consistent, but powerful incentives (Trump endorsement, donor pressure, political momentum) could accelerate his timeline. The 2-month post-midterm window is narrow but real. His repeated denials and commitment to waiting until after the midterms suggest he will not rush an announcement before January.</t>
        </is>
      </c>
      <c r="Y56" s="4" t="inlineStr">
        <is>
          <t>A formal campaign announcement or explicit declaration of intent before Jan 1, 2027 would change the classification. The strongest signal would be Vance saying he has made his decision before the Jan 1 deadline.</t>
        </is>
      </c>
      <c r="Z56" s="4" t="inlineStr">
        <is>
          <t>Vance stated on CBS Sunday Morning (June 14, 2026) that he and Usha will decide on 2028 after the midterms. Trump said he is 'very supportive' of Vance's eventual decision. Fourth child expected summer 2026, cited as a factor in delaying the decision timeline.</t>
        </is>
      </c>
      <c r="AA56" s="4" t="inlineStr">
        <is>
          <t>skipped_not_certain</t>
        </is>
      </c>
      <c r="AB56" s="4" t="inlineStr">
        <is>
          <t>deep_scan</t>
        </is>
      </c>
      <c r="AC56" s="4" t="inlineStr">
        <is>
          <t>2026-06-17</t>
        </is>
      </c>
    </row>
    <row r="57" ht="45" customHeight="1">
      <c r="A57" s="4">
        <f>HYPERLINK("https://kalshi.com/markets/kxvancondo","KXVANCONDO-27JAN15-T650")</f>
        <v/>
      </c>
      <c r="B57" s="4" t="inlineStr">
        <is>
          <t>Will the MLS® Home Price Index benchmark price of apartment homes in Metro Vancouver in 2026 fall below 650K?</t>
        </is>
      </c>
      <c r="C57" s="4" t="inlineStr">
        <is>
          <t>Economics</t>
        </is>
      </c>
      <c r="D57" s="4" t="inlineStr">
        <is>
          <t>NO</t>
        </is>
      </c>
      <c r="E57" s="4" t="n">
        <v>82</v>
      </c>
      <c r="F57" s="4" t="n">
        <v>0</v>
      </c>
      <c r="G57" s="4" t="n">
        <v>85</v>
      </c>
      <c r="H57" s="4" t="inlineStr">
        <is>
          <t>LIKELY</t>
        </is>
      </c>
      <c r="I57" s="4" t="inlineStr"/>
      <c r="J57" s="4" t="inlineStr">
        <is>
          <t>skipped_not_certain</t>
        </is>
      </c>
      <c r="K57" s="4" t="inlineStr"/>
      <c r="L57" s="4" t="inlineStr"/>
      <c r="M57" s="4" t="inlineStr"/>
      <c r="N57" s="4" t="inlineStr"/>
      <c r="O57" s="4" t="inlineStr"/>
      <c r="P57" s="4" t="n">
        <v>38.35</v>
      </c>
      <c r="Q57" s="4" t="inlineStr">
        <is>
          <t>2027-01-15</t>
        </is>
      </c>
      <c r="R57" s="4" t="inlineStr"/>
      <c r="S57" s="4" t="n">
        <v>470</v>
      </c>
      <c r="T57" s="4" t="inlineStr"/>
      <c r="U57" s="4" t="inlineStr"/>
      <c r="V57" s="4" t="inlineStr"/>
      <c r="W57" s="4" t="inlineStr">
        <is>
          <t>Prices have declined ~7-8% YoY in every 2026 monthly report; if this pace continues or accelerates, the benchmark could breach $650K before year-end</t>
        </is>
      </c>
      <c r="X57" s="4" t="inlineStr">
        <is>
          <t>Kalshi resolves based on GVR's MLS HPI benchmark for apartment homes using first-published monthly reports. Revisions won't affect resolution. Low settlement risk — the metric is well-defined and consistently published.</t>
        </is>
      </c>
      <c r="Y57" s="4" t="inlineStr">
        <is>
          <t>A sharp acceleration in price declines (e.g. sustained monthly drops &gt;2%), a major interest rate hike further depressing housing demand, or an economic shock that pushes Vancouver condo values down faster than the current trend.</t>
        </is>
      </c>
      <c r="Z57" s="4" t="inlineStr">
        <is>
          <t>May 2026 data shows benchmark at $697,800 (down 7.9% YoY, 0.7% MoM). June 2026 reports show individual condo transactions below $650K but the benchmark index remains above. The H1 2026 trend continues downward but has not breached $650K in any month through June.</t>
        </is>
      </c>
      <c r="AA57" s="4" t="inlineStr">
        <is>
          <t>skipped_not_certain</t>
        </is>
      </c>
      <c r="AB57" s="4" t="inlineStr">
        <is>
          <t>deep_scan</t>
        </is>
      </c>
      <c r="AC57" s="4" t="inlineStr">
        <is>
          <t>2026-06-17</t>
        </is>
      </c>
    </row>
    <row r="58" ht="45" customHeight="1">
      <c r="A58" s="4">
        <f>HYPERLINK("https://kalshi.com/markets/kxbrinfhigh","KXBRINFHIGH-27JAN01-T5.25")</f>
        <v/>
      </c>
      <c r="B58" s="4" t="inlineStr">
        <is>
          <t>Will Brazil annual inflation rate before 2027 be above 5.25%?</t>
        </is>
      </c>
      <c r="C58" s="4" t="inlineStr">
        <is>
          <t>Economics</t>
        </is>
      </c>
      <c r="D58" s="4" t="inlineStr">
        <is>
          <t>YES</t>
        </is>
      </c>
      <c r="E58" s="4" t="n">
        <v>81</v>
      </c>
      <c r="F58" s="4" t="n">
        <v>0</v>
      </c>
      <c r="G58" s="4" t="n">
        <v>68</v>
      </c>
      <c r="H58" s="4" t="inlineStr">
        <is>
          <t>LIKELY</t>
        </is>
      </c>
      <c r="I58" s="4" t="inlineStr"/>
      <c r="J58" s="4" t="inlineStr">
        <is>
          <t>skipped_not_certain</t>
        </is>
      </c>
      <c r="K58" s="4" t="inlineStr"/>
      <c r="L58" s="4" t="inlineStr"/>
      <c r="M58" s="4" t="inlineStr"/>
      <c r="N58" s="4" t="inlineStr"/>
      <c r="O58" s="4" t="inlineStr"/>
      <c r="P58" s="4" t="n">
        <v>37.82</v>
      </c>
      <c r="Q58" s="4" t="inlineStr">
        <is>
          <t>2027-01-01</t>
        </is>
      </c>
      <c r="R58" s="4" t="inlineStr"/>
      <c r="S58" s="4" t="n">
        <v>395</v>
      </c>
      <c r="T58" s="4" t="inlineStr"/>
      <c r="U58" s="4" t="inlineStr"/>
      <c r="V58" s="4" t="inlineStr"/>
      <c r="W58" s="4" t="inlineStr">
        <is>
          <t>The Focus survey consensus median of 5.09% for 2026 year-end remains below the 5.25% threshold, and the Central Bank's own projections show inflation at 3.6% at the relevant horizon (4Q27) under the current rate path | Brazil's Selic rate remains at 14.50% (deeply restrictive territory), and the Central Bank's hawkish stance with projected cuts only to 13.25-13.50% continues to suppress demand-pull inflation</t>
        </is>
      </c>
      <c r="X58" s="4" t="inlineStr">
        <is>
          <t>Low — Kalshi resolves based on official IBGE IPCA releases, which are transparent, regularly published, and independently verified. No ambiguity in which metric applies.</t>
        </is>
      </c>
      <c r="Y58" s="4" t="inlineStr">
        <is>
          <t>De-escalation of the Iran conflict leading to lower oil prices and reopening of the Strait of Hormuz, which would reduce the primary driver of upside inflation risk; or a sharper-than-expected economic slowdown suppressing domestic demand</t>
        </is>
      </c>
      <c r="Z58" s="4" t="inlineStr">
        <is>
          <t>On June 12, 2026, IBGE reported May IPCA at 4.72% YoY (above 4.66% consensus). Food prices surged 1.33% MoM (highest for May since 2015). Energy inflation persisted at 8.90% due to Strait of Hormuz closure. Fuel prices declined 1.95% MoM, partially offsetting. The Focus survey (June 1) hit 5.09% for 2026 — 12th consecutive weekly increase. Copom expected to cut Selic 25bp at June meeting to 14.25%. BBVA Research June 15 outlook cites 'resilient activity, pre-election fiscal stimulus, and energy shock.'</t>
        </is>
      </c>
      <c r="AA58" s="4" t="inlineStr">
        <is>
          <t>skipped_not_certain</t>
        </is>
      </c>
      <c r="AB58" s="4" t="inlineStr">
        <is>
          <t>deep_scan</t>
        </is>
      </c>
      <c r="AC58" s="4" t="inlineStr">
        <is>
          <t>2026-06-17</t>
        </is>
      </c>
    </row>
    <row r="59" ht="45" customHeight="1">
      <c r="A59" s="4">
        <f>HYPERLINK("https://kalshi.com/markets/kxipoolipop","KXIPOOLIPOP-27MAY01")</f>
        <v/>
      </c>
      <c r="B59" s="4" t="inlineStr">
        <is>
          <t>When will Olipop IPO?</t>
        </is>
      </c>
      <c r="C59" s="4" t="inlineStr">
        <is>
          <t>Economics</t>
        </is>
      </c>
      <c r="D59" s="4" t="inlineStr">
        <is>
          <t>NO</t>
        </is>
      </c>
      <c r="E59" s="4" t="n">
        <v>82</v>
      </c>
      <c r="F59" s="4" t="n">
        <v>0</v>
      </c>
      <c r="G59" s="4" t="n">
        <v>70</v>
      </c>
      <c r="H59" s="4" t="inlineStr">
        <is>
          <t>LIKELY</t>
        </is>
      </c>
      <c r="I59" s="4" t="inlineStr"/>
      <c r="J59" s="4" t="inlineStr">
        <is>
          <t>skipped_not_certain</t>
        </is>
      </c>
      <c r="K59" s="4" t="inlineStr"/>
      <c r="L59" s="4" t="inlineStr"/>
      <c r="M59" s="4" t="inlineStr"/>
      <c r="N59" s="4" t="inlineStr"/>
      <c r="O59" s="4" t="inlineStr"/>
      <c r="P59" s="4" t="n">
        <v>37.78</v>
      </c>
      <c r="Q59" s="4" t="inlineStr">
        <is>
          <t>2027-05-01</t>
        </is>
      </c>
      <c r="R59" s="4" t="inlineStr"/>
      <c r="S59" s="4" t="n">
        <v>425</v>
      </c>
      <c r="T59" s="4" t="inlineStr"/>
      <c r="U59" s="4" t="inlineStr"/>
      <c r="V59" s="4" t="inlineStr"/>
      <c r="W59" s="4" t="inlineStr">
        <is>
          <t>Olipop is valued at $1.85B with $400M+ in annual sales and is profitable — it has the scale and financial profile to pursue an IPO within the 317-day window, and JP Morgan's involvement could signal a pipeline toward public listing | The modern soda category grew 46% to $1.7B in 2025 and is up 24% YTD in 2026 — strong category tailwinds could accelerate Olipop's timeline toward an IPO as competitive positioning strengthens</t>
        </is>
      </c>
      <c r="X59" s="4" t="inlineStr">
        <is>
          <t>Low — the resolution criteria are clearly defined: S-1 effectiveness, IPO pricing, or ticker assignment by a securities exchange. These are objective events that Kalshi can verify through public sources.</t>
        </is>
      </c>
      <c r="Y59" s="4" t="inlineStr">
        <is>
          <t>If Olipop files a Form S-1 with the SEC or appoints lead underwriters in the coming months, which would signal a concrete IPO timeline and make a YES resolution by May 2027 likely</t>
        </is>
      </c>
      <c r="Z59" s="4" t="inlineStr">
        <is>
          <t>In May 2026, Olipop initiated a $200M capital raise after M&amp;A discussions with strategic buyers ended without a deal (Axios). The company is reportedly advised by Morgan Stanley. In February 2025, Olipop raised $50M at a $1.85B valuation from JP Morgan Private Capital. CEO Ben Goodwin stated it would be the company's 'last round of funding' but hasn't determined IPO vs sale. Coca-Cola launched competing prebiotic soda brand Simply Pop in early 2025. Modern soda category continues rapid growth at 24% YTD.</t>
        </is>
      </c>
      <c r="AA59" s="4" t="inlineStr">
        <is>
          <t>skipped_not_certain</t>
        </is>
      </c>
      <c r="AB59" s="4" t="inlineStr">
        <is>
          <t>deep_scan</t>
        </is>
      </c>
      <c r="AC59" s="4" t="inlineStr">
        <is>
          <t>2026-06-17</t>
        </is>
      </c>
    </row>
    <row r="60" ht="45" customHeight="1">
      <c r="A60" s="4">
        <f>HYPERLINK("https://kalshi.com/markets/kxipoolipop","KXIPOOLIPOP-27JUN01")</f>
        <v/>
      </c>
      <c r="B60" s="4" t="inlineStr">
        <is>
          <t>When will Olipop IPO?</t>
        </is>
      </c>
      <c r="C60" s="4" t="inlineStr">
        <is>
          <t>Economics</t>
        </is>
      </c>
      <c r="D60" s="4" t="inlineStr">
        <is>
          <t>NO</t>
        </is>
      </c>
      <c r="E60" s="4" t="n">
        <v>80</v>
      </c>
      <c r="F60" s="4" t="n">
        <v>0</v>
      </c>
      <c r="G60" s="4" t="n">
        <v>87</v>
      </c>
      <c r="H60" s="4" t="inlineStr">
        <is>
          <t>LIKELY</t>
        </is>
      </c>
      <c r="I60" s="4" t="inlineStr"/>
      <c r="J60" s="4" t="inlineStr">
        <is>
          <t>skipped_not_certain</t>
        </is>
      </c>
      <c r="K60" s="4" t="inlineStr"/>
      <c r="L60" s="4" t="inlineStr"/>
      <c r="M60" s="4" t="inlineStr"/>
      <c r="N60" s="4" t="inlineStr"/>
      <c r="O60" s="4" t="inlineStr"/>
      <c r="P60" s="4" t="n">
        <v>37.18</v>
      </c>
      <c r="Q60" s="4" t="inlineStr">
        <is>
          <t>2027-06-01</t>
        </is>
      </c>
      <c r="R60" s="4" t="inlineStr"/>
      <c r="S60" s="4" t="n">
        <v>428</v>
      </c>
      <c r="T60" s="4" t="inlineStr"/>
      <c r="U60" s="4" t="inlineStr"/>
      <c r="V60" s="4" t="inlineStr"/>
      <c r="W60" s="4" t="inlineStr"/>
      <c r="X60" s="4" t="inlineStr">
        <is>
          <t>Low. Kalshi's rules are clear: the IPO is confirmed if the SEC declares Form S-1 effective, the IPO is priced, or an exchange assigns a ticker. All three are objective and verifiable events.</t>
        </is>
      </c>
      <c r="Y60" s="4" t="inlineStr">
        <is>
          <t>A surprise S-1 filing or public announcement of underwriter mandate before Jun 2027 would prove the NO thesis wrong. The long 348-day window means a change in corporate strategy could still occur.</t>
        </is>
      </c>
      <c r="Z60" s="4" t="inlineStr">
        <is>
          <t>In May 2026, Axios reported Olipop is raising $200M+ via Morgan Stanley — a secondary capital raise, not an IPO. This follows stalled M&amp;A talks with Coca-Cola and other strategics. CEO Ben Goodwin has not publicly committed to an IPO timeline. The company achieved $400M+ revenue in 2024 and cash profitability, making it IPO-ready on paper but management has not signaled intent.</t>
        </is>
      </c>
      <c r="AA60" s="4" t="inlineStr">
        <is>
          <t>skipped_not_certain</t>
        </is>
      </c>
      <c r="AB60" s="4" t="inlineStr">
        <is>
          <t>deep_scan</t>
        </is>
      </c>
      <c r="AC60" s="4" t="inlineStr">
        <is>
          <t>2026-06-17</t>
        </is>
      </c>
    </row>
    <row r="61" ht="45" customHeight="1">
      <c r="A61" s="4">
        <f>HYPERLINK("https://kalshi.com/markets/kxrubiorun","KXRUBIORUN-28-27APR01")</f>
        <v/>
      </c>
      <c r="B61" s="4" t="inlineStr">
        <is>
          <t>Will Marco Rubio announce a run for President of the United States before Apr 1, 2027?</t>
        </is>
      </c>
      <c r="C61" s="4" t="inlineStr">
        <is>
          <t>Elections</t>
        </is>
      </c>
      <c r="D61" s="4" t="inlineStr">
        <is>
          <t>NO</t>
        </is>
      </c>
      <c r="E61" s="4" t="n">
        <v>84</v>
      </c>
      <c r="F61" s="4" t="n">
        <v>0</v>
      </c>
      <c r="G61" s="4" t="n">
        <v>84</v>
      </c>
      <c r="H61" s="4" t="inlineStr">
        <is>
          <t>LIKELY</t>
        </is>
      </c>
      <c r="I61" s="4" t="inlineStr"/>
      <c r="J61" s="4" t="inlineStr">
        <is>
          <t>skipped_not_certain</t>
        </is>
      </c>
      <c r="K61" s="4" t="inlineStr"/>
      <c r="L61" s="4" t="inlineStr"/>
      <c r="M61" s="4" t="inlineStr"/>
      <c r="N61" s="4" t="inlineStr"/>
      <c r="O61" s="4" t="inlineStr"/>
      <c r="P61" s="4" t="n">
        <v>37.08</v>
      </c>
      <c r="Q61" s="4" t="inlineStr">
        <is>
          <t>2027-04-01</t>
        </is>
      </c>
      <c r="R61" s="4" t="inlineStr"/>
      <c r="S61" s="4" t="n">
        <v>230</v>
      </c>
      <c r="T61" s="4" t="inlineStr"/>
      <c r="U61" s="4" t="inlineStr"/>
      <c r="V61" s="4" t="inlineStr"/>
      <c r="W61" s="4" t="inlineStr"/>
      <c r="X61" s="4" t="inlineStr">
        <is>
          <t>Low. Rules require a public announcement from the person or their official campaign. Exploratory committees and statements of interest do not qualify. The criteria are well-defined and based on observable public statements.</t>
        </is>
      </c>
      <c r="Y61" s="4" t="inlineStr">
        <is>
          <t>If Vance publicly declines to run, Rubio's calculus could change and he could enter the race. A Cabinet resignation followed by a campaign launch before Apr 2027 would also prove the NO thesis wrong. Trump repeatedly floating a Vance-Rubio ticket keeps the door open but does not constitute an announcement.</t>
        </is>
      </c>
      <c r="Z61" s="4" t="inlineStr">
        <is>
          <t>In June 2026, Trump again suggested a Vance-Rubio 'dream team' ticket (TIME, Jun 3). Emerson College polling (May 2026) shows Rubio at 35% vs Vance at 36% among GOP primary voters — a near-tie. However, Rubio has maintained his position of deferring to Vance. He testified before Congress as Secretary of State in June 2026, focused on the Iran situation and State Department budget. Semafor reported (Jun 16) that Rubio has stayed quiet on the Iran deal while Vance has been the administration's public face — potentially reinforcing their respective roles rather than signaling a campaign launch.</t>
        </is>
      </c>
      <c r="AA61" s="4" t="inlineStr">
        <is>
          <t>skipped_not_certain</t>
        </is>
      </c>
      <c r="AB61" s="4" t="inlineStr">
        <is>
          <t>deep_scan</t>
        </is>
      </c>
      <c r="AC61" s="4" t="inlineStr">
        <is>
          <t>2026-06-17</t>
        </is>
      </c>
    </row>
    <row r="62" ht="45" customHeight="1">
      <c r="A62" s="4">
        <f>HYPERLINK("https://kalshi.com/markets/kxipoolipop","KXIPOOLIPOP-27APR01")</f>
        <v/>
      </c>
      <c r="B62" s="4" t="inlineStr">
        <is>
          <t>When will Olipop IPO?</t>
        </is>
      </c>
      <c r="C62" s="4" t="inlineStr">
        <is>
          <t>Economics</t>
        </is>
      </c>
      <c r="D62" s="4" t="inlineStr">
        <is>
          <t>NO</t>
        </is>
      </c>
      <c r="E62" s="4" t="n">
        <v>84</v>
      </c>
      <c r="F62" s="4" t="n">
        <v>0</v>
      </c>
      <c r="G62" s="4" t="n">
        <v>78</v>
      </c>
      <c r="H62" s="4" t="inlineStr">
        <is>
          <t>LIKELY</t>
        </is>
      </c>
      <c r="I62" s="4" t="inlineStr"/>
      <c r="J62" s="4" t="inlineStr">
        <is>
          <t>skipped_not_certain</t>
        </is>
      </c>
      <c r="K62" s="4" t="inlineStr"/>
      <c r="L62" s="4" t="inlineStr"/>
      <c r="M62" s="4" t="inlineStr"/>
      <c r="N62" s="4" t="inlineStr"/>
      <c r="O62" s="4" t="inlineStr"/>
      <c r="P62" s="4" t="n">
        <v>36.97</v>
      </c>
      <c r="Q62" s="4" t="inlineStr">
        <is>
          <t>2027-04-01</t>
        </is>
      </c>
      <c r="R62" s="4" t="inlineStr"/>
      <c r="S62" s="4" t="n">
        <v>219</v>
      </c>
      <c r="T62" s="4" t="inlineStr"/>
      <c r="U62" s="4" t="inlineStr"/>
      <c r="V62" s="4" t="inlineStr"/>
      <c r="W62" s="4" t="inlineStr">
        <is>
          <t>Olipop is profitable with $400M+ annual sales and a $1.85B valuation, making it a feasible IPO candidate if the board decides to accelerate | Olipop is in the modern soda category which has seen 46% sales growth to $1.7B in 2025, creating favorable market conditions for a public listing</t>
        </is>
      </c>
      <c r="X62" s="4" t="inlineStr">
        <is>
          <t>Kalshi resolves to YES if the SEC declares the S-1 effective, the IPO is priced, or a ticker is assigned — these are objective criteria with low settlement risk. However, if Olipop files confidentially (confidential S-1), the market might not resolve until the filing becomes public.</t>
        </is>
      </c>
      <c r="Y62" s="4" t="inlineStr">
        <is>
          <t>A confidential S-1 filing with the SEC, appointment of lead underwriters, or a public announcement of IPO plans would change this to YES being the likely outcome. Conversely, Olipop exhausting its new $200M capital without IPO progress would further confirm the NO outcome.</t>
        </is>
      </c>
      <c r="Z62" s="4" t="inlineStr">
        <is>
          <t>June 2026: Olipop is raising ~$200M in new capital after M&amp;A talks ended without a deal. The company launched a major brand refresh in May 2026 ('Feel Good Soda' campaign), released new flavors (Raspberry Sherbet, Blackberry Vanilla), and expanded Costco distribution. The CEO appeared on WSJ in June discussing the functional soda category. No IPO-related announcements or SEC filings detected.</t>
        </is>
      </c>
      <c r="AA62" s="4" t="inlineStr">
        <is>
          <t>skipped_not_certain</t>
        </is>
      </c>
      <c r="AB62" s="4" t="inlineStr">
        <is>
          <t>deep_scan</t>
        </is>
      </c>
      <c r="AC62" s="4" t="inlineStr">
        <is>
          <t>2026-06-17</t>
        </is>
      </c>
    </row>
    <row r="63" ht="45" customHeight="1">
      <c r="A63" s="7">
        <f>HYPERLINK("https://kalshi.com/markets/kxfedemployees","KXFEDEMPLOYEES-27FEB-200000")</f>
        <v/>
      </c>
      <c r="B63" s="7" t="inlineStr">
        <is>
          <t>Will there be more than 200000 government employees cut before Jan 2027?</t>
        </is>
      </c>
      <c r="C63" s="7" t="inlineStr">
        <is>
          <t>Economics</t>
        </is>
      </c>
      <c r="D63" s="7" t="inlineStr">
        <is>
          <t>NO</t>
        </is>
      </c>
      <c r="E63" s="7" t="n">
        <v>82</v>
      </c>
      <c r="F63" s="7" t="n">
        <v>0</v>
      </c>
      <c r="G63" s="7" t="n">
        <v>55</v>
      </c>
      <c r="H63" s="7" t="inlineStr">
        <is>
          <t>UNCLEAR</t>
        </is>
      </c>
      <c r="I63" s="7" t="inlineStr"/>
      <c r="J63" s="7" t="inlineStr">
        <is>
          <t>skipped_not_certain</t>
        </is>
      </c>
      <c r="K63" s="7" t="inlineStr"/>
      <c r="L63" s="7" t="inlineStr"/>
      <c r="M63" s="7" t="inlineStr"/>
      <c r="N63" s="7" t="inlineStr"/>
      <c r="O63" s="7" t="inlineStr"/>
      <c r="P63" s="7" t="n">
        <v>36.85</v>
      </c>
      <c r="Q63" s="7" t="inlineStr">
        <is>
          <t>2027-03-04</t>
        </is>
      </c>
      <c r="R63" s="7" t="inlineStr"/>
      <c r="S63" s="7" t="n">
        <v>265</v>
      </c>
      <c r="T63" s="7" t="inlineStr"/>
      <c r="U63" s="7" t="inlineStr"/>
      <c r="V63" s="7" t="inlineStr"/>
      <c r="W63" s="7" t="inlineStr">
        <is>
          <t>More than 400,000 federal employees have left since January 2025 (gross), and the net loss of ~285K demonstrates the administration's capacity for large-scale workforce reduction | The administration continues to expand tools for workforce reduction, including Schedule Policy/Career (June 2026) which strips civil service protections from ~8,000 senior positions, enabling faster terminations | Pew Research / OPM data shows a 10% federal workforce reduction in Trump's first year, and the trajectory of cuts continued into 2026 with DoD civilian losses straining installation operations</t>
        </is>
      </c>
      <c r="X63" s="7" t="inlineStr">
        <is>
          <t>HIGH — The settlement criteria phrase 'no longer working relative to the December 2025 employee count' is ambiguous. It could mean (a) gross headcount reduction from the Dec 2025 baseline, (b) number of Dec 2025 employees who subsequently departed, or (c) net change including new hires. Different interpretations yield different results. Kalshi's resolution methodology for this definition is not specified.</t>
        </is>
      </c>
      <c r="Y63" s="7" t="inlineStr">
        <is>
          <t>Official OPM data release confirming cumulative departures from the December 2025 cohort exceed 200K would resolve to YES. Conversely, a court order halting reductions, a major hiring initiative, or OPM data showing departures remain well below 200K would confirm NO. A clear OPM or Kalshi definition of 'no longer working relative to the December 2025 employee count' would resolve the metric ambiguity.</t>
        </is>
      </c>
      <c r="Z63" s="7" t="inlineStr">
        <is>
          <t>June 2026: Trump signed an executive order implementing Schedule Policy/Career, stripping civil service protections from ~8,000 federal employees to enable faster terminations. OPM published implementation guidance on June 8. DoD civilian workforce losses continue to strain military installation operations. USDA employees face relocation decisions. The federal workforce was already at decade-low levels. However, no comprehensive new OPM data showing cumulative departures from the Dec 2025 baseline has been released since the January 2026 update.</t>
        </is>
      </c>
      <c r="AA63" s="7" t="inlineStr">
        <is>
          <t>skipped_not_certain</t>
        </is>
      </c>
      <c r="AB63" s="7" t="inlineStr">
        <is>
          <t>deep_scan</t>
        </is>
      </c>
      <c r="AC63" s="7" t="inlineStr">
        <is>
          <t>2026-06-17</t>
        </is>
      </c>
    </row>
    <row r="64" ht="45" customHeight="1">
      <c r="A64" s="4">
        <f>HYPERLINK("https://kalshi.com/markets/kxtokenust","KXTOKENUST-27JAN01-T45")</f>
        <v/>
      </c>
      <c r="B64" s="4" t="inlineStr">
        <is>
          <t>Will Tokenized U.S. Treasuries (Distributed Value) before 2027 be above 45 Billion?</t>
        </is>
      </c>
      <c r="C64" s="4" t="inlineStr">
        <is>
          <t>Economics</t>
        </is>
      </c>
      <c r="D64" s="4" t="inlineStr">
        <is>
          <t>NO</t>
        </is>
      </c>
      <c r="E64" s="4" t="n">
        <v>81</v>
      </c>
      <c r="F64" s="4" t="n">
        <v>0</v>
      </c>
      <c r="G64" s="4" t="n">
        <v>86</v>
      </c>
      <c r="H64" s="4" t="inlineStr">
        <is>
          <t>LIKELY</t>
        </is>
      </c>
      <c r="I64" s="4" t="inlineStr"/>
      <c r="J64" s="4" t="inlineStr">
        <is>
          <t>skipped_not_certain</t>
        </is>
      </c>
      <c r="K64" s="4" t="inlineStr"/>
      <c r="L64" s="4" t="inlineStr"/>
      <c r="M64" s="4" t="inlineStr"/>
      <c r="N64" s="4" t="inlineStr"/>
      <c r="O64" s="4" t="inlineStr"/>
      <c r="P64" s="4" t="n">
        <v>35.57</v>
      </c>
      <c r="Q64" s="4" t="inlineStr">
        <is>
          <t>2027-01-01</t>
        </is>
      </c>
      <c r="R64" s="4" t="inlineStr"/>
      <c r="S64" s="4" t="n">
        <v>140</v>
      </c>
      <c r="T64" s="4" t="inlineStr"/>
      <c r="U64" s="4" t="inlineStr"/>
      <c r="V64" s="4" t="inlineStr"/>
      <c r="W64" s="4" t="inlineStr">
        <is>
          <t>BlackRock filed for two new tokenized funds on May 8, 2026, which could significantly accelerate institutional inflows beyond current trajectory | Tokenized US Treasuries are being adopted as DeFi collateral, opening a new demand channel that could boost market cap faster than the current trajectory suggests</t>
        </is>
      </c>
      <c r="X64" s="4" t="inlineStr">
        <is>
          <t>Kalshi will use the 'Tokenized U.S. Treasuries (Distributed Value)' metric. If the methodology differs from common industry reporting (e.g., excluding certain protocols or token types), the reported value could differ from the ~$15B market narrative</t>
        </is>
      </c>
      <c r="Y64" s="4" t="inlineStr">
        <is>
          <t>A major institutional announcement (e.g., BlackRock or State Street launching a multi-billion dollar tokenized treasury fund) or a regulatory change that mandates or incentivizes large-scale tokenization of Treasury holdings</t>
        </is>
      </c>
      <c r="Z64" s="4" t="inlineStr">
        <is>
          <t>BlackRock filed for two new tokenized funds on May 8, 2026. Tokenized treasury market crossed $15B in May 2026, up from $13B in April 2026 — steady but not accelerating growth pace</t>
        </is>
      </c>
      <c r="AA64" s="4" t="inlineStr">
        <is>
          <t>skipped_not_certain</t>
        </is>
      </c>
      <c r="AB64" s="4" t="inlineStr">
        <is>
          <t>deep_scan</t>
        </is>
      </c>
      <c r="AC64" s="4" t="inlineStr">
        <is>
          <t>2026-06-17</t>
        </is>
      </c>
    </row>
    <row r="65" ht="45" customHeight="1">
      <c r="A65" s="4">
        <f>HYPERLINK("https://kalshi.com/markets/kxfeddecision","KXFEDDECISION-27JAN-C25")</f>
        <v/>
      </c>
      <c r="B65" s="4" t="inlineStr">
        <is>
          <t>Will the Federal Reserve Cut rates by 25bps at their January 2027 meeting?</t>
        </is>
      </c>
      <c r="C65" s="4" t="inlineStr">
        <is>
          <t>Economics</t>
        </is>
      </c>
      <c r="D65" s="4" t="inlineStr">
        <is>
          <t>NO</t>
        </is>
      </c>
      <c r="E65" s="4" t="n">
        <v>81</v>
      </c>
      <c r="F65" s="4" t="n">
        <v>0</v>
      </c>
      <c r="G65" s="4" t="n">
        <v>83</v>
      </c>
      <c r="H65" s="4" t="inlineStr">
        <is>
          <t>LIKELY</t>
        </is>
      </c>
      <c r="I65" s="4" t="inlineStr"/>
      <c r="J65" s="4" t="inlineStr">
        <is>
          <t>skipped_not_certain</t>
        </is>
      </c>
      <c r="K65" s="4" t="inlineStr"/>
      <c r="L65" s="4" t="inlineStr"/>
      <c r="M65" s="4" t="inlineStr"/>
      <c r="N65" s="4" t="inlineStr"/>
      <c r="O65" s="4" t="inlineStr"/>
      <c r="P65" s="4" t="n">
        <v>35.41</v>
      </c>
      <c r="Q65" s="4" t="inlineStr">
        <is>
          <t>2027-01-27</t>
        </is>
      </c>
      <c r="R65" s="4" t="inlineStr"/>
      <c r="S65" s="4" t="n">
        <v>146</v>
      </c>
      <c r="T65" s="4" t="inlineStr"/>
      <c r="U65" s="4" t="inlineStr"/>
      <c r="V65" s="4" t="inlineStr"/>
      <c r="W65" s="4" t="inlineStr">
        <is>
          <t>Goldman Sachs previously forecast cuts in March and June 2026 — if economic conditions deteriorate significantly (recession, labor market weakness), a January 2027 cut becomes plausible despite current hawkish stance</t>
        </is>
      </c>
      <c r="X65" s="4" t="inlineStr">
        <is>
          <t>If the scheduled FOMC meeting is canceled, the 'maintain rate' market resolves to Yes and all others to No per the secondary rules — this is consistent with the NO outcome, so no adverse settlement risk</t>
        </is>
      </c>
      <c r="Y65" s="4" t="inlineStr">
        <is>
          <t>A sharp deterioration in economic conditions (recession, spike in unemployment, financial crisis, or a sudden drop in inflation below target) that forces the Fed into an accelerated cutting cycle before January 2027</t>
        </is>
      </c>
      <c r="Z65" s="4" t="inlineStr">
        <is>
          <t>Fed held rates at 3.50-3.75% in June 2026 (10-2 vote). CME FedWatch shows 88.8% hold probability for July 2026. Goldman Sachs revised rate cut projections to a more hawkish outlook under new Chair Warsh</t>
        </is>
      </c>
      <c r="AA65" s="4" t="inlineStr">
        <is>
          <t>skipped_not_certain</t>
        </is>
      </c>
      <c r="AB65" s="4" t="inlineStr">
        <is>
          <t>deep_scan</t>
        </is>
      </c>
      <c r="AC65" s="4" t="inlineStr">
        <is>
          <t>2026-06-17</t>
        </is>
      </c>
    </row>
    <row r="66" ht="45" customHeight="1">
      <c r="A66" s="4">
        <f>HYPERLINK("https://kalshi.com/markets/kxfeddecision","KXFEDDECISION-27JUN-C25")</f>
        <v/>
      </c>
      <c r="B66" s="4" t="inlineStr">
        <is>
          <t>Will the Federal Reserve Cut rates by 25bps at their June 2027 meeting?</t>
        </is>
      </c>
      <c r="C66" s="4" t="inlineStr">
        <is>
          <t>Economics</t>
        </is>
      </c>
      <c r="D66" s="4" t="inlineStr">
        <is>
          <t>NO</t>
        </is>
      </c>
      <c r="E66" s="4" t="n">
        <v>80</v>
      </c>
      <c r="F66" s="4" t="n">
        <v>0</v>
      </c>
      <c r="G66" s="4" t="n">
        <v>72</v>
      </c>
      <c r="H66" s="4" t="inlineStr">
        <is>
          <t>LIKELY</t>
        </is>
      </c>
      <c r="I66" s="4" t="inlineStr"/>
      <c r="J66" s="4" t="inlineStr">
        <is>
          <t>skipped_not_certain</t>
        </is>
      </c>
      <c r="K66" s="4" t="inlineStr"/>
      <c r="L66" s="4" t="inlineStr"/>
      <c r="M66" s="4" t="inlineStr"/>
      <c r="N66" s="4" t="inlineStr"/>
      <c r="O66" s="4" t="inlineStr"/>
      <c r="P66" s="4" t="n">
        <v>33.92</v>
      </c>
      <c r="Q66" s="4" t="inlineStr">
        <is>
          <t>2027-06-09</t>
        </is>
      </c>
      <c r="R66" s="4" t="inlineStr"/>
      <c r="S66" s="4" t="n">
        <v>96</v>
      </c>
      <c r="T66" s="4" t="inlineStr"/>
      <c r="U66" s="4" t="inlineStr"/>
      <c r="V66" s="4" t="inlineStr"/>
      <c r="W66" s="4" t="inlineStr">
        <is>
          <t>Goldman Sachs Research explicitly forecasts a 25bp rate cut at the June 2027 FOMC meeting (along with another in December 2027), citing restrictive policy relative to terminal rate of 3-3.25% | UBS Global Wealth Management forecasts rate cuts in March and June 2027, which includes a cut at the June meeting | Bloomberg survey of 35 economists shows median estimate for first cut is June 2027, indicating a plurality of professional forecasters expect a cut at this meeting</t>
        </is>
      </c>
      <c r="X66" s="4" t="inlineStr">
        <is>
          <t>The mutually exclusive bucket structure and the cancellation clause (if the meeting is canceled, 'Fed maintains rate' resolves to Yes) are standard and clearly defined. Kalshi settlement risk is low, as the outcome is verifiable from the official FOMC statement.</t>
        </is>
      </c>
      <c r="Y66" s="4" t="inlineStr">
        <is>
          <t>A sustained decline in inflation (PCE below 2.5%), a sharp economic downturn or recession, or unexpected easing of geopolitical tensions reducing energy costs could shift the consensus toward a June 2027 cut. Conversely, further inflation acceleration or labor market tightening would strengthen the NO case.</t>
        </is>
      </c>
      <c r="Z66" s="4" t="inlineStr">
        <is>
          <t>The June 16-17, 2026 FOMC meeting — Kevin Warsh's first as Chair — just concluded with a unanimous hold at 3.50-3.75%. The dot plot flipped hawkish: median 2026 rate projection rose to 3.8% (from 3.4% in March), 9 of 18 officials project at least one hike in 2026, and the median 2027 projection rose to 3.6%. The statement removed its 'easing bias' language entirely. PCE inflation forecast was revised sharply higher to 3.6% for 2026. Goldman Sachs published a note on June 9 pushing its first expected cut to June 2027, UBS followed suit on June 16, and a Bloomberg economist survey on June 12 showed the median cut expectation is June 2027.</t>
        </is>
      </c>
      <c r="AA66" s="4" t="inlineStr">
        <is>
          <t>skipped_not_certain</t>
        </is>
      </c>
      <c r="AB66" s="4" t="inlineStr">
        <is>
          <t>deep_scan</t>
        </is>
      </c>
      <c r="AC66" s="4" t="inlineStr">
        <is>
          <t>2026-06-17</t>
        </is>
      </c>
    </row>
    <row r="67" ht="45" customHeight="1">
      <c r="A67" s="4">
        <f>HYPERLINK("https://kalshi.com/markets/kxipoopenai","KXIPOOPENAI-27MAY01")</f>
        <v/>
      </c>
      <c r="B67" s="4" t="inlineStr">
        <is>
          <t>When will OpenAI IPO?</t>
        </is>
      </c>
      <c r="C67" s="4" t="inlineStr">
        <is>
          <t>Economics</t>
        </is>
      </c>
      <c r="D67" s="4" t="inlineStr">
        <is>
          <t>YES</t>
        </is>
      </c>
      <c r="E67" s="4" t="n">
        <v>83</v>
      </c>
      <c r="F67" s="4" t="n">
        <v>0</v>
      </c>
      <c r="G67" s="4" t="n">
        <v>88</v>
      </c>
      <c r="H67" s="4" t="inlineStr">
        <is>
          <t>LIKELY</t>
        </is>
      </c>
      <c r="I67" s="4" t="inlineStr"/>
      <c r="J67" s="4" t="inlineStr">
        <is>
          <t>skipped_not_certain</t>
        </is>
      </c>
      <c r="K67" s="4" t="inlineStr"/>
      <c r="L67" s="4" t="inlineStr"/>
      <c r="M67" s="4" t="inlineStr"/>
      <c r="N67" s="4" t="inlineStr"/>
      <c r="O67" s="4" t="inlineStr"/>
      <c r="P67" s="4" t="n">
        <v>44.28</v>
      </c>
      <c r="Q67" s="4" t="inlineStr">
        <is>
          <t>2027-05-01</t>
        </is>
      </c>
      <c r="R67" s="4" t="inlineStr"/>
      <c r="S67" s="4" t="n">
        <v>7383</v>
      </c>
      <c r="T67" s="4" t="inlineStr"/>
      <c r="U67" s="4" t="inlineStr"/>
      <c r="V67" s="4" t="inlineStr"/>
      <c r="W67" s="4" t="inlineStr"/>
      <c r="X67" s="4" t="inlineStr">
        <is>
          <t>Low. Market resolves objectively upon SEC declaring S-1 effective, IPO pricing, or ticker assignment. Could resolve early if any trigger occurs before May 1, 2027</t>
        </is>
      </c>
      <c r="Y67" s="4" t="inlineStr">
        <is>
          <t>OpenAI announces an indefinite delay or withdraws its S-1; SEC rejects or returns the S-1 for material changes; market conditions deteriorate such that IPO becomes infeasible; OpenAI opts for a direct listing or alternative structure instead</t>
        </is>
      </c>
      <c r="Z67" s="4" t="inlineStr">
        <is>
          <t>On June 8, 2026, OpenAI confidentially filed for IPO with the SEC, following Anthropic's filing a week earlier. The company is targeting a valuation between $852B and $1T. IPO bankers expressed concerns about capital market capacity given concurrent SpaceX and Anthropic listings. OpenAI stated it 'has not decided on timing yet' and it 'may be a while.'</t>
        </is>
      </c>
      <c r="AA67" s="4" t="inlineStr">
        <is>
          <t>skipped_not_certain</t>
        </is>
      </c>
      <c r="AB67" s="4" t="inlineStr">
        <is>
          <t>deep_scan</t>
        </is>
      </c>
      <c r="AC67" s="4" t="inlineStr">
        <is>
          <t>2026-06-17</t>
        </is>
      </c>
    </row>
    <row r="68" ht="45" customHeight="1">
      <c r="A68" s="4">
        <f>HYPERLINK("https://kalshi.com/markets/kxakmov","KXAKMOV-AKSENATE26NOV03-DSUL-P1")</f>
        <v/>
      </c>
      <c r="B68" s="4" t="inlineStr">
        <is>
          <t>Will the margin of victory for Dan Sullivan in the 2026 Alaska Senate election be between 0% and 3%?</t>
        </is>
      </c>
      <c r="C68" s="4" t="inlineStr">
        <is>
          <t>Elections</t>
        </is>
      </c>
      <c r="D68" s="4" t="inlineStr">
        <is>
          <t>NO</t>
        </is>
      </c>
      <c r="E68" s="4" t="n">
        <v>82</v>
      </c>
      <c r="F68" s="4" t="n">
        <v>0</v>
      </c>
      <c r="G68" s="4" t="n">
        <v>78</v>
      </c>
      <c r="H68" s="4" t="inlineStr">
        <is>
          <t>LIKELY</t>
        </is>
      </c>
      <c r="I68" s="4" t="inlineStr"/>
      <c r="J68" s="4" t="inlineStr">
        <is>
          <t>skipped_not_certain</t>
        </is>
      </c>
      <c r="K68" s="4" t="inlineStr"/>
      <c r="L68" s="4" t="inlineStr"/>
      <c r="M68" s="4" t="inlineStr"/>
      <c r="N68" s="4" t="inlineStr"/>
      <c r="O68" s="4" t="inlineStr"/>
      <c r="P68" s="4" t="n">
        <v>43.05</v>
      </c>
      <c r="Q68" s="4" t="inlineStr">
        <is>
          <t>2027-06-02</t>
        </is>
      </c>
      <c r="R68" s="4" t="inlineStr"/>
      <c r="S68" s="4" t="n">
        <v>4859</v>
      </c>
      <c r="T68" s="4" t="inlineStr"/>
      <c r="U68" s="4" t="inlineStr"/>
      <c r="V68" s="4" t="inlineStr"/>
      <c r="W68" s="4" t="inlineStr">
        <is>
          <t>Sullivan's 2014 margin was 2.2%, which falls within the 0-3% range, demonstrating that a YES outcome is historically possible</t>
        </is>
      </c>
      <c r="X68" s="4" t="inlineStr">
        <is>
          <t>Low — Kalshi has standard election settlement procedures; the rules clearly define margin calculation including negative margins for losses and RCV tabulation</t>
        </is>
      </c>
      <c r="Y68" s="4" t="inlineStr">
        <is>
          <t>New polling showing Sullivan leading consistently by 0-3%, or Peltola dropping out/shifts in RCV dynamics that favor Sullivan consolidation, or external events weakening Peltola's candidacy before November</t>
        </is>
      </c>
      <c r="Z68" s="4" t="inlineStr">
        <is>
          <t>June 12 Alaska Survey Research poll shows Peltola leading 49-44 among likely voters; Dan J. Sullivan 'sham candidate' controversy continues; primary is Aug 18, 2026 with top-four advancing to general</t>
        </is>
      </c>
      <c r="AA68" s="4" t="inlineStr">
        <is>
          <t>skipped_not_certain</t>
        </is>
      </c>
      <c r="AB68" s="4" t="inlineStr">
        <is>
          <t>deep_scan</t>
        </is>
      </c>
      <c r="AC68" s="4" t="inlineStr">
        <is>
          <t>2026-06-17</t>
        </is>
      </c>
    </row>
    <row r="69" ht="45" customHeight="1">
      <c r="A69" s="4">
        <f>HYPERLINK("https://kalshi.com/markets/rsenateseats","RSENATESEATS-27-E49")</f>
        <v/>
      </c>
      <c r="B69" s="4" t="inlineStr">
        <is>
          <t>Will the Republican party hold exactly 49 Senate seats in the 120th Congress?</t>
        </is>
      </c>
      <c r="C69" s="4" t="inlineStr">
        <is>
          <t>Elections</t>
        </is>
      </c>
      <c r="D69" s="4" t="inlineStr">
        <is>
          <t>NO</t>
        </is>
      </c>
      <c r="E69" s="4" t="n">
        <v>84</v>
      </c>
      <c r="F69" s="4" t="n">
        <v>0</v>
      </c>
      <c r="G69" s="4" t="n">
        <v>85</v>
      </c>
      <c r="H69" s="4" t="inlineStr">
        <is>
          <t>LIKELY</t>
        </is>
      </c>
      <c r="I69" s="4" t="inlineStr"/>
      <c r="J69" s="4" t="inlineStr">
        <is>
          <t>skipped_not_certain</t>
        </is>
      </c>
      <c r="K69" s="4" t="inlineStr"/>
      <c r="L69" s="4" t="inlineStr"/>
      <c r="M69" s="4" t="inlineStr"/>
      <c r="N69" s="4" t="inlineStr"/>
      <c r="O69" s="4" t="inlineStr"/>
      <c r="P69" s="4" t="n">
        <v>41.15</v>
      </c>
      <c r="Q69" s="4" t="inlineStr">
        <is>
          <t>2027-02-01</t>
        </is>
      </c>
      <c r="R69" s="4" t="inlineStr"/>
      <c r="S69" s="4" t="n">
        <v>1374</v>
      </c>
      <c r="T69" s="4" t="inlineStr"/>
      <c r="U69" s="4" t="inlineStr"/>
      <c r="V69" s="4" t="inlineStr"/>
      <c r="W69" s="4" t="inlineStr"/>
      <c r="X69" s="4" t="inlineStr">
        <is>
          <t>Vacancies, party switches, or independent senators caucusing with either party between November 2026 and February 2027 could shift the exact count. Prediction markets show some probability of a 49-49 split which, if independents remain independent, would resolve this market YES.</t>
        </is>
      </c>
      <c r="Y69" s="4" t="inlineStr">
        <is>
          <t>A consolidated polling trend showing Republicans consistently at exactly 49 seats across multiple independent forecast models, or election results that converge precisely on 49 Republican seats with no off-cycle adjustments before February 2027</t>
        </is>
      </c>
      <c r="Z69" s="4" t="inlineStr">
        <is>
          <t>June 2026 forecast data shows Pollsmax projecting 51.1 Republican seats (median 51), 270toWin at 50, and prediction markets indicating possible 49-49 split scenarios. No June 2026 development has narrowed the distribution specifically to exactly 49.</t>
        </is>
      </c>
      <c r="AA69" s="4" t="inlineStr">
        <is>
          <t>skipped_not_certain</t>
        </is>
      </c>
      <c r="AB69" s="4" t="inlineStr">
        <is>
          <t>deep_scan</t>
        </is>
      </c>
      <c r="AC69" s="4" t="inlineStr">
        <is>
          <t>2026-06-17</t>
        </is>
      </c>
    </row>
    <row r="70" ht="45" customHeight="1">
      <c r="A70" s="4">
        <f>HYPERLINK("https://kalshi.com/markets/kxfedchgcount","KXFEDCHGCOUNT-27JAN01-E2")</f>
        <v/>
      </c>
      <c r="B70" s="4" t="inlineStr">
        <is>
          <t>Will the number of rate changes before 2027 be exactly 2?</t>
        </is>
      </c>
      <c r="C70" s="4" t="inlineStr">
        <is>
          <t>Economics</t>
        </is>
      </c>
      <c r="D70" s="4" t="inlineStr">
        <is>
          <t>NO</t>
        </is>
      </c>
      <c r="E70" s="4" t="n">
        <v>80</v>
      </c>
      <c r="F70" s="4" t="n">
        <v>0</v>
      </c>
      <c r="G70" s="4" t="n">
        <v>82</v>
      </c>
      <c r="H70" s="4" t="inlineStr">
        <is>
          <t>LIKELY</t>
        </is>
      </c>
      <c r="I70" s="4" t="inlineStr"/>
      <c r="J70" s="4" t="inlineStr">
        <is>
          <t>skipped_not_certain</t>
        </is>
      </c>
      <c r="K70" s="4" t="inlineStr"/>
      <c r="L70" s="4" t="inlineStr"/>
      <c r="M70" s="4" t="inlineStr"/>
      <c r="N70" s="4" t="inlineStr"/>
      <c r="O70" s="4" t="inlineStr"/>
      <c r="P70" s="4" t="n">
        <v>41.02</v>
      </c>
      <c r="Q70" s="4" t="inlineStr">
        <is>
          <t>2027-01-01</t>
        </is>
      </c>
      <c r="R70" s="4" t="inlineStr"/>
      <c r="S70" s="4" t="n">
        <v>1975</v>
      </c>
      <c r="T70" s="4" t="inlineStr"/>
      <c r="U70" s="4" t="inlineStr"/>
      <c r="V70" s="4" t="inlineStr"/>
      <c r="W70" s="4" t="inlineStr">
        <is>
          <t>Goldman Sachs Research had forecast exactly 2 rate cuts for 2026 (March + June), though the June hold expectation suggests this forecast may now be partially outdated</t>
        </is>
      </c>
      <c r="X70" s="4" t="inlineStr">
        <is>
          <t>Kalshi counts any change to the target range as one rate change regardless of magnitude (25bp or 50bp both count as 1). Emergency inter-meeting changes also count. The definition is clear but emergency actions could surprise.</t>
        </is>
      </c>
      <c r="Y70" s="4" t="inlineStr">
        <is>
          <t>A clear Fed forward guidance signal that exactly 2 rate changes will occur by year-end, or if actual rate changes through Q3 2026 already total exactly 2 with remaining meetings expected to hold</t>
        </is>
      </c>
      <c r="Z70" s="4" t="inlineStr">
        <is>
          <t>June 2026 FOMC meeting (June 16-17) is underway with Kevin Warsh as new Fed Chair. Polymarket prices 100% probability of no change. GS's forecast of 2 cuts appears potentially outdated. Howland Capital notes consensus shifted to 0 cuts due to geopolitical risks.</t>
        </is>
      </c>
      <c r="AA70" s="4" t="inlineStr">
        <is>
          <t>skipped_not_certain</t>
        </is>
      </c>
      <c r="AB70" s="4" t="inlineStr">
        <is>
          <t>deep_scan</t>
        </is>
      </c>
      <c r="AC70" s="4" t="inlineStr">
        <is>
          <t>2026-06-17</t>
        </is>
      </c>
    </row>
    <row r="71" ht="45" customHeight="1">
      <c r="A71" s="4" t="inlineStr">
        <is>
          <t>KXMARTINDNCOUT-26MAY-AUG01</t>
        </is>
      </c>
      <c r="B71" s="4" t="inlineStr">
        <is>
          <t>Will Ken Martin be out as chair of the Democratic National Committee before Aug 1, 2026?</t>
        </is>
      </c>
      <c r="C71" s="4" t="inlineStr"/>
      <c r="D71" s="4" t="inlineStr">
        <is>
          <t>NO</t>
        </is>
      </c>
      <c r="E71" s="4" t="n">
        <v>87</v>
      </c>
      <c r="F71" s="4" t="n">
        <v>0</v>
      </c>
      <c r="G71" s="4" t="n">
        <v>84</v>
      </c>
      <c r="H71" s="4" t="inlineStr">
        <is>
          <t>LIKELY</t>
        </is>
      </c>
      <c r="I71" s="4" t="inlineStr"/>
      <c r="J71" s="4" t="inlineStr">
        <is>
          <t>skipped_not_certain</t>
        </is>
      </c>
      <c r="K71" s="4" t="inlineStr"/>
      <c r="L71" s="4" t="inlineStr"/>
      <c r="M71" s="4" t="inlineStr"/>
      <c r="N71" s="4" t="inlineStr"/>
      <c r="O71" s="4" t="inlineStr"/>
      <c r="P71" s="4" t="inlineStr"/>
      <c r="Q71" s="4" t="inlineStr"/>
      <c r="R71" s="4" t="inlineStr"/>
      <c r="S71" s="4" t="n">
        <v>0</v>
      </c>
      <c r="T71" s="4" t="inlineStr"/>
      <c r="U71" s="4" t="inlineStr"/>
      <c r="V71" s="4" t="inlineStr"/>
      <c r="W71" s="4" t="inlineStr">
        <is>
          <t>Multiple congressional Democrats including Reps. Marc Veasey, Seth Moulton, and Mark Pocan have publicly called for Martin's resignation following the botched autopsy report release | Some Democrats believe Martin's position remains fragile if congressional leadership signals they want him gone or if the DNC's financial situation worsens further, per Axios reporting</t>
        </is>
      </c>
      <c r="X71" s="4" t="inlineStr">
        <is>
          <t>The rules define 'leave' broadly including resignation, removal, and term expiration. If Martin were to announce a planned departure after Aug 1 but effective before, that could trigger Yes settlement. Low residual risk of ambiguous timing.</t>
        </is>
      </c>
      <c r="Y71" s="4" t="inlineStr">
        <is>
          <t>A formal no-confidence vote by DNC members, public defection of state party chairs from Martin, or a significant deterioration in DNC fundraising that triggers a membership revolt</t>
        </is>
      </c>
      <c r="Z71" s="4" t="inlineStr">
        <is>
          <t>In early June 2026, Martin staved off a revolt at the DNC rules and bylaws committee meeting in Washington, with members openly rallying to his defense. The autopsy controversy dominated May but has not translated into removal proceedings. DNC members continue setting the 2028 primary calendar under Martin's leadership.</t>
        </is>
      </c>
      <c r="AA71" s="4" t="inlineStr">
        <is>
          <t>skipped_not_certain</t>
        </is>
      </c>
      <c r="AB71" s="4" t="inlineStr"/>
      <c r="AC71" s="4" t="inlineStr"/>
    </row>
    <row r="72" ht="45" customHeight="1">
      <c r="A72" s="4" t="inlineStr">
        <is>
          <t>KXKASHOUT-26APR-AUG01</t>
        </is>
      </c>
      <c r="B72" s="4" t="inlineStr">
        <is>
          <t>Will Kash Patel leaves as FBI Director before Aug 1, 2026?</t>
        </is>
      </c>
      <c r="C72" s="4" t="inlineStr"/>
      <c r="D72" s="4" t="inlineStr">
        <is>
          <t>NO</t>
        </is>
      </c>
      <c r="E72" s="4" t="n">
        <v>82</v>
      </c>
      <c r="F72" s="4" t="n">
        <v>0</v>
      </c>
      <c r="G72" s="4" t="n">
        <v>68</v>
      </c>
      <c r="H72" s="4" t="inlineStr">
        <is>
          <t>LIKELY</t>
        </is>
      </c>
      <c r="I72" s="4" t="inlineStr"/>
      <c r="J72" s="4" t="inlineStr">
        <is>
          <t>skipped_not_certain</t>
        </is>
      </c>
      <c r="K72" s="4" t="inlineStr"/>
      <c r="L72" s="4" t="inlineStr"/>
      <c r="M72" s="4" t="inlineStr"/>
      <c r="N72" s="4" t="inlineStr"/>
      <c r="O72" s="4" t="inlineStr"/>
      <c r="P72" s="4" t="inlineStr"/>
      <c r="Q72" s="4" t="inlineStr"/>
      <c r="R72" s="4" t="inlineStr"/>
      <c r="S72" s="4" t="n">
        <v>0</v>
      </c>
      <c r="T72" s="4" t="inlineStr"/>
      <c r="U72" s="4" t="inlineStr"/>
      <c r="V72" s="4" t="inlineStr"/>
      <c r="W72" s="4" t="inlineStr">
        <is>
          <t>On June 16-17, 2026, Rep. Jamie Raskin sent a letter alleging Patel directed over $1M in taxpayer-funded bonuses to loyalist agents ('Payback Squad'), sparking a new ethics controversy | On June 17, 2026, the Secret Service publicly slammed Patel for prematurely disclosing details of a sealed terror plot investigation, with Deputy Director Matt Quinn stating they 'chose not to leak it' — an extraordinary public rebuke of an FBI Director | The Atlantic reported in April 2026 that senior White House officials are 'openly discussing who will be the next FBI director', and the article documented Patel's paranoid fear of being fired, excessive drinking, and pattern of erratic behavior | An anomalous $51,132 was deployed on the YES (Patel leaves) side at 17c across 300,778 total contracts, representing a significant volume signal that some informed market participants expect his departure before August 1</t>
        </is>
      </c>
      <c r="X72" s="4" t="inlineStr">
        <is>
          <t>The rules define 'leave' broadly covering resignation, removal, or term expiration. If Patel were placed on administrative leave or suspended pending investigation, settlement could be disputed. The 44-day window leaves room for a resignation-for-cause scenario that meets the criteria.</t>
        </is>
      </c>
      <c r="Y72" s="4" t="inlineStr">
        <is>
          <t>A public announcement from President Trump or the White House confirming Patel's removal or resignation, or Patel himself announcing his departure. Conversely, if Trump publicly and unequivocally reaffirms Patel with term commitment, it would strengthen NO.</t>
        </is>
      </c>
      <c r="Z72" s="4" t="inlineStr">
        <is>
          <t>EXCEPTIONALLY ACTIVE — On June 16-17, 2026 alone: (1) Rep. Raskin alleged $1M in improper bonuses to Patel loyalists, (2) Secret Service publicly rebuked Patel for compromising a sealed terror investigation by prematurely announcing details on social media, (3) The FBI arrested 5 people in an alleged drone-attack plot on the White House UFC event, which Patel disclosed before other suspects could be apprehended. These fresh scandals compound the existing controversies from The Atlantic report in April and ongoing calls for his resignation from Senate Democrats.</t>
        </is>
      </c>
      <c r="AA72" s="4" t="inlineStr">
        <is>
          <t>skipped_not_certain</t>
        </is>
      </c>
      <c r="AB72" s="4" t="inlineStr"/>
      <c r="AC72" s="4" t="inlineStr"/>
    </row>
    <row r="73" ht="45" customHeight="1">
      <c r="A73" s="4" t="inlineStr">
        <is>
          <t>KXKASHANNOUNCEOUT-26APR-JUL01</t>
        </is>
      </c>
      <c r="B73" s="4" t="inlineStr">
        <is>
          <t>Will Kash Patel announce their departure as FBI Director before Jul 1, 2026?</t>
        </is>
      </c>
      <c r="C73" s="4" t="inlineStr"/>
      <c r="D73" s="4" t="inlineStr">
        <is>
          <t>NO</t>
        </is>
      </c>
      <c r="E73" s="4" t="n">
        <v>0</v>
      </c>
      <c r="F73" s="4" t="n">
        <v>0</v>
      </c>
      <c r="G73" s="4" t="n">
        <v>90</v>
      </c>
      <c r="H73" s="4" t="inlineStr">
        <is>
          <t>LIKELY</t>
        </is>
      </c>
      <c r="I73" s="4" t="inlineStr"/>
      <c r="J73" s="4" t="inlineStr">
        <is>
          <t>skipped_not_certain</t>
        </is>
      </c>
      <c r="K73" s="4" t="inlineStr"/>
      <c r="L73" s="4" t="inlineStr"/>
      <c r="M73" s="4" t="inlineStr"/>
      <c r="N73" s="4" t="inlineStr"/>
      <c r="O73" s="4" t="inlineStr"/>
      <c r="P73" s="4" t="inlineStr"/>
      <c r="Q73" s="4" t="inlineStr"/>
      <c r="R73" s="4" t="inlineStr"/>
      <c r="S73" s="4" t="n">
        <v>0</v>
      </c>
      <c r="T73" s="4" t="inlineStr"/>
      <c r="U73" s="4" t="inlineStr"/>
      <c r="V73" s="4" t="inlineStr"/>
      <c r="W73" s="4" t="inlineStr"/>
      <c r="X73" s="4" t="inlineStr">
        <is>
          <t>Low — rules are clear that resolution is based on public announcement of departure regardless of effective date; Kalshi has handled similar 'announcement' markets consistently</t>
        </is>
      </c>
      <c r="Y73" s="4" t="inlineStr">
        <is>
          <t>Any credible report of Patel planning to resign, a public statement from Patel or the White House about departure, or unusual absences from official duties</t>
        </is>
      </c>
      <c r="Z73" s="4" t="inlineStr">
        <is>
          <t>On June 6, 2026, Patel fired several FBI analysts over a Catholic ideology training memo controversy and testified before Congress on May 12, 2026</t>
        </is>
      </c>
      <c r="AA73" s="4" t="inlineStr">
        <is>
          <t>skipped_not_certain</t>
        </is>
      </c>
      <c r="AB73" s="4" t="inlineStr"/>
      <c r="AC73" s="4" t="inlineStr"/>
    </row>
  </sheetData>
  <autoFilter ref="A2:AC2"/>
  <mergeCells count="1">
    <mergeCell ref="A1:A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
  <sheetViews>
    <sheetView workbookViewId="0">
      <pane ySplit="2" topLeftCell="A3" activePane="bottomLeft" state="frozen"/>
      <selection pane="bottomLeft" activeCell="A1" sqref="A1"/>
    </sheetView>
  </sheetViews>
  <sheetFormatPr baseColWidth="8" defaultRowHeight="15"/>
  <cols>
    <col width="18" customWidth="1" min="1" max="1"/>
    <col width="20" customWidth="1" min="2" max="2"/>
    <col width="8" customWidth="1" min="3" max="3"/>
    <col width="9" customWidth="1" min="4" max="4"/>
    <col width="9" customWidth="1" min="5" max="5"/>
    <col width="9" customWidth="1" min="6" max="6"/>
    <col width="9" customWidth="1" min="7" max="7"/>
    <col width="20" customWidth="1" min="8" max="8"/>
    <col width="8" customWidth="1" min="9" max="9"/>
    <col width="9" customWidth="1" min="10" max="10"/>
    <col width="9" customWidth="1" min="11" max="11"/>
    <col width="9" customWidth="1" min="12" max="12"/>
    <col width="9" customWidth="1" min="13" max="13"/>
    <col width="9" customWidth="1" min="14" max="14"/>
    <col width="11" customWidth="1" min="15" max="15"/>
    <col width="10" customWidth="1" min="16" max="16"/>
    <col width="11" customWidth="1" min="17" max="17"/>
    <col width="50" customWidth="1" min="18" max="18"/>
    <col width="50" customWidth="1" min="19" max="19"/>
    <col width="20" customWidth="1" min="20" max="20"/>
  </cols>
  <sheetData>
    <row r="1" ht="22" customHeight="1">
      <c r="A1" s="8" t="inlineStr">
        <is>
          <t>Tier Inversions — 2026-06-17 22:33 UTC  (1 total  |  0 guaranteed arb)</t>
        </is>
      </c>
    </row>
    <row r="2" ht="28" customHeight="1">
      <c r="A2" s="2" t="inlineStr">
        <is>
          <t>Series</t>
        </is>
      </c>
      <c r="B2" s="2" t="inlineStr">
        <is>
          <t>Lower Ticker</t>
        </is>
      </c>
      <c r="C2" s="2" t="inlineStr">
        <is>
          <t>Lower T</t>
        </is>
      </c>
      <c r="D2" s="2" t="inlineStr">
        <is>
          <t>Lower Bid</t>
        </is>
      </c>
      <c r="E2" s="2" t="inlineStr">
        <is>
          <t>Lower Ask</t>
        </is>
      </c>
      <c r="F2" s="2" t="inlineStr">
        <is>
          <t>Lower Spread</t>
        </is>
      </c>
      <c r="G2" s="2" t="inlineStr">
        <is>
          <t>Lower Vol</t>
        </is>
      </c>
      <c r="H2" s="2" t="inlineStr">
        <is>
          <t>Higher Ticker</t>
        </is>
      </c>
      <c r="I2" s="2" t="inlineStr">
        <is>
          <t>Higher T</t>
        </is>
      </c>
      <c r="J2" s="2" t="inlineStr">
        <is>
          <t>Higher Bid</t>
        </is>
      </c>
      <c r="K2" s="2" t="inlineStr">
        <is>
          <t>Higher No Ask</t>
        </is>
      </c>
      <c r="L2" s="2" t="inlineStr">
        <is>
          <t>Higher Spread</t>
        </is>
      </c>
      <c r="M2" s="2" t="inlineStr">
        <is>
          <t>Higher Vol</t>
        </is>
      </c>
      <c r="N2" s="2" t="inlineStr">
        <is>
          <t>Bid Gap (¢)</t>
        </is>
      </c>
      <c r="O2" s="2" t="inlineStr">
        <is>
          <t>Total Cost (¢)</t>
        </is>
      </c>
      <c r="P2" s="2" t="inlineStr">
        <is>
          <t>Min Net (¢)</t>
        </is>
      </c>
      <c r="Q2" s="2" t="inlineStr">
        <is>
          <t>Guaranteed?</t>
        </is>
      </c>
      <c r="R2" s="2" t="inlineStr">
        <is>
          <t>Violation</t>
        </is>
      </c>
      <c r="S2" s="2" t="inlineStr">
        <is>
          <t>Trade</t>
        </is>
      </c>
      <c r="T2" s="2" t="inlineStr">
        <is>
          <t>Detected At</t>
        </is>
      </c>
    </row>
    <row r="3" ht="30" customHeight="1">
      <c r="A3" s="9" t="inlineStr">
        <is>
          <t>KXTOKENUST-27JAN01</t>
        </is>
      </c>
      <c r="B3" s="9" t="inlineStr">
        <is>
          <t>KXTOKENUST-27JAN01-T30</t>
        </is>
      </c>
      <c r="C3" s="9" t="n">
        <v>30</v>
      </c>
      <c r="D3" s="9" t="n">
        <v>25</v>
      </c>
      <c r="E3" s="9" t="n">
        <v>31</v>
      </c>
      <c r="F3" s="9" t="n">
        <v>6</v>
      </c>
      <c r="G3" s="9" t="n">
        <v>192</v>
      </c>
      <c r="H3" s="9" t="inlineStr">
        <is>
          <t>KXTOKENUST-27JAN01-T35</t>
        </is>
      </c>
      <c r="I3" s="9" t="n">
        <v>35</v>
      </c>
      <c r="J3" s="9" t="n">
        <v>26</v>
      </c>
      <c r="K3" s="9" t="n">
        <v>74</v>
      </c>
      <c r="L3" s="9" t="n">
        <v>1</v>
      </c>
      <c r="M3" s="9" t="n">
        <v>88</v>
      </c>
      <c r="N3" s="9" t="n">
        <v>1</v>
      </c>
      <c r="O3" s="9" t="n">
        <v>105</v>
      </c>
      <c r="P3" s="9" t="n">
        <v>-6.03</v>
      </c>
      <c r="Q3" s="9" t="inlineStr">
        <is>
          <t>no</t>
        </is>
      </c>
      <c r="R3" s="10" t="inlineStr">
        <is>
          <t>P(&gt;T30.0) = 25¢ &lt; P(&gt;T35.0) = 26¢  (gap=1¢)</t>
        </is>
      </c>
      <c r="S3" s="10" t="inlineStr">
        <is>
          <t>BUY YES(KXTOKENUST-27JAN01-T30) @ 31¢  +  BUY NO(KXTOKENUST-27JAN01-T35) @ 74¢</t>
        </is>
      </c>
      <c r="T3" s="10" t="inlineStr">
        <is>
          <t>2026-06-17T16:14:03.834809+00:00</t>
        </is>
      </c>
    </row>
  </sheetData>
  <autoFilter ref="A2:T2"/>
  <mergeCells count="1">
    <mergeCell ref="A1:T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0" customWidth="1" min="1" max="1"/>
    <col width="80" customWidth="1" min="2" max="2"/>
  </cols>
  <sheetData>
    <row r="1" ht="18" customHeight="1">
      <c r="A1" s="11" t="inlineStr">
        <is>
          <t>Colour</t>
        </is>
      </c>
      <c r="B1" s="12" t="inlineStr">
        <is>
          <t>Meaning</t>
        </is>
      </c>
    </row>
    <row r="2" ht="18" customHeight="1">
      <c r="A2" s="13" t="inlineStr">
        <is>
          <t>Green (CERTAIN)</t>
        </is>
      </c>
      <c r="B2" s="14" t="inlineStr">
        <is>
          <t>Classifier assessed outcome as near-certain (≥95% confidence, ≥3 confirming signals, no contradicting signals). Actionable.</t>
        </is>
      </c>
    </row>
    <row r="3" ht="18" customHeight="1">
      <c r="A3" s="13" t="inlineStr">
        <is>
          <t>Grey (NEAR MISS)</t>
        </is>
      </c>
      <c r="B3" s="14" t="inlineStr">
        <is>
          <t>Classified CERTAIN or STRONG but filtered — validation errors, edge below 3%, or already notified within 7 days. Review the Validation Errors column.</t>
        </is>
      </c>
    </row>
    <row r="4" ht="18" customHeight="1">
      <c r="A4" s="13" t="inlineStr">
        <is>
          <t>Yellow (LIKELY)</t>
        </is>
      </c>
      <c r="B4" s="14" t="inlineStr">
        <is>
          <t>Classifier assessed outcome as probable but not certain</t>
        </is>
      </c>
    </row>
    <row r="5" ht="18" customHeight="1">
      <c r="A5" s="13" t="inlineStr">
        <is>
          <t>Orange (UNCLEAR)</t>
        </is>
      </c>
      <c r="B5" s="14" t="inlineStr">
        <is>
          <t>Classifier could not determine outcome with sufficient confidence</t>
        </is>
      </c>
    </row>
    <row r="6" ht="18" customHeight="1">
      <c r="A6" s="13" t="inlineStr">
        <is>
          <t>Red tint</t>
        </is>
      </c>
      <c r="B6" s="14" t="inlineStr">
        <is>
          <t>Market has a VOLUME ANOMALY flag — large bets against the high-confidence side. Requires investigation.</t>
        </is>
      </c>
    </row>
    <row r="7" ht="18" customHeight="1">
      <c r="A7" s="13" t="inlineStr">
        <is>
          <t>Gold (STRONG)</t>
        </is>
      </c>
      <c r="B7" s="14" t="inlineStr">
        <is>
          <t>Anomaly candidate: quantitative score ≥70 — large unexplained smart-money accumulation, passed LLM veto check. Actionable.</t>
        </is>
      </c>
    </row>
    <row r="8" ht="18" customHeight="1">
      <c r="A8" s="13" t="inlineStr">
        <is>
          <t>Light amber (WATCH)</t>
        </is>
      </c>
      <c r="B8" s="14" t="inlineStr">
        <is>
          <t>Anomaly candidate: quantitative score 45–69 — notable signal, not strong enough to action. Monitor.</t>
        </is>
      </c>
    </row>
    <row r="9" ht="18" customHeight="1">
      <c r="A9" s="13" t="inlineStr"/>
      <c r="B9" s="14" t="inlineStr"/>
    </row>
    <row r="10" ht="18" customHeight="1">
      <c r="A10" s="11" t="inlineStr">
        <is>
          <t>Column</t>
        </is>
      </c>
      <c r="B10" s="12" t="inlineStr">
        <is>
          <t>Description</t>
        </is>
      </c>
    </row>
    <row r="11" ht="18" customHeight="1">
      <c r="A11" s="13" t="inlineStr">
        <is>
          <t>Status</t>
        </is>
      </c>
      <c r="B11" s="14" t="inlineStr">
        <is>
          <t>OPPORTUNITY = actionable; NEAR MISS = CERTAIN but filtered (see Validation Errors)</t>
        </is>
      </c>
    </row>
    <row r="12" ht="18" customHeight="1">
      <c r="A12" s="13" t="inlineStr">
        <is>
          <t>Validation Errors</t>
        </is>
      </c>
      <c r="B12" s="14" t="inlineStr">
        <is>
          <t>Why a CERTAIN candidate failed structural checks (e.g. fewer than 3 searches logged). Fix by re-running classification with stricter search logging.</t>
        </is>
      </c>
    </row>
    <row r="13" ht="18" customHeight="1">
      <c r="A13" s="13" t="inlineStr">
        <is>
          <t>Edge %</t>
        </is>
      </c>
      <c r="B13" s="14" t="inlineStr">
        <is>
          <t>Expected return after Kalshi fees as % of capital deployed</t>
        </is>
      </c>
    </row>
    <row r="14" ht="18" customHeight="1">
      <c r="A14" s="13" t="inlineStr">
        <is>
          <t>Ann. Edge %</t>
        </is>
      </c>
      <c r="B14" s="14" t="inlineStr">
        <is>
          <t>Edge annualised by days to close (365 / days)</t>
        </is>
      </c>
    </row>
    <row r="15" ht="18" customHeight="1">
      <c r="A15" s="13" t="inlineStr">
        <is>
          <t>Suggested Size ($)</t>
        </is>
      </c>
      <c r="B15" s="14" t="inlineStr">
        <is>
          <t>Kelly-criterion position size, capped at 5% of bankroll</t>
        </is>
      </c>
    </row>
    <row r="16" ht="18" customHeight="1">
      <c r="A16" s="13" t="inlineStr">
        <is>
          <t>Volume Anomaly</t>
        </is>
      </c>
      <c r="B16" s="14" t="inlineStr">
        <is>
          <t>Opposite-side implied $ = volume × opposite_price / 100</t>
        </is>
      </c>
    </row>
    <row r="17" ht="18" customHeight="1">
      <c r="A17" s="13" t="inlineStr">
        <is>
          <t>Contradicting Signals</t>
        </is>
      </c>
      <c r="B17" s="14" t="inlineStr">
        <is>
          <t>Facts found by classifier that argue against the high-confidence outcome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2026-06-17T22:33:00+00:00Z</dcterms:created>
  <dcterms:modified xmlns:dcterms="http://purl.org/dc/terms/" xmlns:xsi="http://www.w3.org/2001/XMLSchema-instance" xsi:type="dcterms:W3CDTF">2026-06-17T22:33:00+00:00Z</dcterms:modified>
</cp:coreProperties>
</file>